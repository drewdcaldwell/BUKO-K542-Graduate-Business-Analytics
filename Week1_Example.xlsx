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hidePivotFieldList="1" autoCompressPictures="0"/>
  <mc:AlternateContent xmlns:mc="http://schemas.openxmlformats.org/markup-compatibility/2006">
    <mc:Choice Requires="x15">
      <x15ac:absPath xmlns:x15ac="http://schemas.microsoft.com/office/spreadsheetml/2010/11/ac" url="C:\Users\dcaldwell\Downloads\"/>
    </mc:Choice>
  </mc:AlternateContent>
  <xr:revisionPtr revIDLastSave="0" documentId="13_ncr:1_{5E635550-61E9-48AB-BD99-D39514497272}" xr6:coauthVersionLast="47" xr6:coauthVersionMax="47" xr10:uidLastSave="{00000000-0000-0000-0000-000000000000}"/>
  <bookViews>
    <workbookView xWindow="-110" yWindow="-110" windowWidth="19420" windowHeight="11500" tabRatio="500" firstSheet="1" activeTab="1" xr2:uid="{00000000-000D-0000-FFFF-FFFF00000000}"/>
  </bookViews>
  <sheets>
    <sheet name="Real Estate Data" sheetId="1" r:id="rId1"/>
    <sheet name="Chart1" sheetId="8" r:id="rId2"/>
    <sheet name="Prepared Data" sheetId="3" r:id="rId3"/>
    <sheet name="QUANT - Price" sheetId="7" r:id="rId4"/>
    <sheet name="QUANT - Summary" sheetId="6" r:id="rId5"/>
    <sheet name="CAT - Quality" sheetId="5" r:id="rId6"/>
    <sheet name="CAT - Pool" sheetId="4" r:id="rId7"/>
    <sheet name="Description of Data" sheetId="2" r:id="rId8"/>
  </sheets>
  <definedNames>
    <definedName name="_xlchart.v1.0" hidden="1">'Prepared Data'!$L$1</definedName>
    <definedName name="_xlchart.v1.1" hidden="1">'Prepared Data'!$L$2:$L$106</definedName>
    <definedName name="_xlchart.v1.2" hidden="1">'Prepared Data'!$L$1</definedName>
    <definedName name="_xlchart.v1.3" hidden="1">'Prepared Data'!$L$2:$L$106</definedName>
  </definedNames>
  <calcPr calcId="191029"/>
  <pivotCaches>
    <pivotCache cacheId="13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3" i="3" l="1" a="1"/>
  <c r="I3" i="3"/>
  <c r="I4" i="3" a="1"/>
  <c r="I4" i="3"/>
  <c r="I5" i="3" a="1"/>
  <c r="I5" i="3" s="1"/>
  <c r="I6" i="3" a="1"/>
  <c r="I6" i="3"/>
  <c r="I7" i="3" a="1"/>
  <c r="I7" i="3"/>
  <c r="I8" i="3" a="1"/>
  <c r="I8" i="3"/>
  <c r="I9" i="3" a="1"/>
  <c r="I9" i="3" s="1"/>
  <c r="I10" i="3" a="1"/>
  <c r="I10" i="3" s="1"/>
  <c r="I11" i="3" a="1"/>
  <c r="I11" i="3"/>
  <c r="I12" i="3" a="1"/>
  <c r="I12" i="3" s="1"/>
  <c r="I13" i="3" a="1"/>
  <c r="I13" i="3"/>
  <c r="I14" i="3" a="1"/>
  <c r="I14" i="3"/>
  <c r="I15" i="3" a="1"/>
  <c r="I15" i="3"/>
  <c r="I16" i="3" a="1"/>
  <c r="I16" i="3" s="1"/>
  <c r="I17" i="3" a="1"/>
  <c r="I17" i="3" s="1"/>
  <c r="I18" i="3" a="1"/>
  <c r="I18" i="3"/>
  <c r="I19" i="3" a="1"/>
  <c r="I19" i="3" s="1"/>
  <c r="I20" i="3" a="1"/>
  <c r="I20" i="3"/>
  <c r="I21" i="3" a="1"/>
  <c r="I21" i="3"/>
  <c r="I22" i="3" a="1"/>
  <c r="I22" i="3"/>
  <c r="I23" i="3" a="1"/>
  <c r="I23" i="3" s="1"/>
  <c r="I24" i="3" a="1"/>
  <c r="I24" i="3" s="1"/>
  <c r="I25" i="3" a="1"/>
  <c r="I25" i="3"/>
  <c r="I26" i="3" a="1"/>
  <c r="I26" i="3" s="1"/>
  <c r="I27" i="3" a="1"/>
  <c r="I27" i="3"/>
  <c r="I28" i="3" a="1"/>
  <c r="I28" i="3"/>
  <c r="I29" i="3" a="1"/>
  <c r="I29" i="3"/>
  <c r="I30" i="3" a="1"/>
  <c r="I30" i="3" s="1"/>
  <c r="I31" i="3" a="1"/>
  <c r="I31" i="3" s="1"/>
  <c r="I32" i="3" a="1"/>
  <c r="I32" i="3"/>
  <c r="I33" i="3" a="1"/>
  <c r="I33" i="3" s="1"/>
  <c r="I34" i="3" a="1"/>
  <c r="I34" i="3"/>
  <c r="I35" i="3" a="1"/>
  <c r="I35" i="3"/>
  <c r="I36" i="3" a="1"/>
  <c r="I36" i="3"/>
  <c r="I37" i="3" a="1"/>
  <c r="I37" i="3" s="1"/>
  <c r="I38" i="3" a="1"/>
  <c r="I38" i="3" s="1"/>
  <c r="I39" i="3" a="1"/>
  <c r="I39" i="3"/>
  <c r="I40" i="3" a="1"/>
  <c r="I40" i="3" s="1"/>
  <c r="I41" i="3" a="1"/>
  <c r="I41" i="3"/>
  <c r="I42" i="3" a="1"/>
  <c r="I42" i="3"/>
  <c r="I43" i="3" a="1"/>
  <c r="I43" i="3"/>
  <c r="I44" i="3" a="1"/>
  <c r="I44" i="3" s="1"/>
  <c r="I45" i="3" a="1"/>
  <c r="I45" i="3" s="1"/>
  <c r="I46" i="3" a="1"/>
  <c r="I46" i="3"/>
  <c r="I47" i="3" a="1"/>
  <c r="I47" i="3" s="1"/>
  <c r="I48" i="3" a="1"/>
  <c r="I48" i="3"/>
  <c r="I49" i="3" a="1"/>
  <c r="I49" i="3"/>
  <c r="I50" i="3" a="1"/>
  <c r="I50" i="3"/>
  <c r="I51" i="3" a="1"/>
  <c r="I51" i="3" s="1"/>
  <c r="I52" i="3" a="1"/>
  <c r="I52" i="3" s="1"/>
  <c r="I53" i="3" a="1"/>
  <c r="I53" i="3"/>
  <c r="I54" i="3" a="1"/>
  <c r="I54" i="3" s="1"/>
  <c r="I55" i="3" a="1"/>
  <c r="I55" i="3"/>
  <c r="I56" i="3" a="1"/>
  <c r="I56" i="3"/>
  <c r="I57" i="3" a="1"/>
  <c r="I57" i="3"/>
  <c r="I58" i="3" a="1"/>
  <c r="I58" i="3" s="1"/>
  <c r="I59" i="3" a="1"/>
  <c r="I59" i="3" s="1"/>
  <c r="I60" i="3" a="1"/>
  <c r="I60" i="3"/>
  <c r="I61" i="3" a="1"/>
  <c r="I61" i="3" s="1"/>
  <c r="I62" i="3" a="1"/>
  <c r="I62" i="3"/>
  <c r="I63" i="3" a="1"/>
  <c r="I63" i="3"/>
  <c r="I64" i="3" a="1"/>
  <c r="I64" i="3"/>
  <c r="I65" i="3" a="1"/>
  <c r="I65" i="3" s="1"/>
  <c r="I66" i="3" a="1"/>
  <c r="I66" i="3" s="1"/>
  <c r="I67" i="3" a="1"/>
  <c r="I67" i="3"/>
  <c r="I68" i="3" a="1"/>
  <c r="I68" i="3" s="1"/>
  <c r="I69" i="3" a="1"/>
  <c r="I69" i="3"/>
  <c r="I70" i="3" a="1"/>
  <c r="I70" i="3"/>
  <c r="I71" i="3" a="1"/>
  <c r="I71" i="3"/>
  <c r="I72" i="3" a="1"/>
  <c r="I72" i="3" s="1"/>
  <c r="I73" i="3" a="1"/>
  <c r="I73" i="3" s="1"/>
  <c r="I74" i="3" a="1"/>
  <c r="I74" i="3"/>
  <c r="I75" i="3" a="1"/>
  <c r="I75" i="3" s="1"/>
  <c r="I76" i="3" a="1"/>
  <c r="I76" i="3"/>
  <c r="I77" i="3" a="1"/>
  <c r="I77" i="3"/>
  <c r="I78" i="3" a="1"/>
  <c r="I78" i="3"/>
  <c r="I79" i="3" a="1"/>
  <c r="I79" i="3" s="1"/>
  <c r="I80" i="3" a="1"/>
  <c r="I80" i="3" s="1"/>
  <c r="I81" i="3" a="1"/>
  <c r="I81" i="3"/>
  <c r="I82" i="3" a="1"/>
  <c r="I82" i="3" s="1"/>
  <c r="I83" i="3" a="1"/>
  <c r="I83" i="3"/>
  <c r="I84" i="3" a="1"/>
  <c r="I84" i="3"/>
  <c r="I85" i="3" a="1"/>
  <c r="I85" i="3"/>
  <c r="I86" i="3" a="1"/>
  <c r="I86" i="3" s="1"/>
  <c r="I87" i="3" a="1"/>
  <c r="I87" i="3" s="1"/>
  <c r="I88" i="3" a="1"/>
  <c r="I88" i="3"/>
  <c r="I89" i="3" a="1"/>
  <c r="I89" i="3" s="1"/>
  <c r="I90" i="3" a="1"/>
  <c r="I90" i="3"/>
  <c r="I91" i="3" a="1"/>
  <c r="I91" i="3"/>
  <c r="I92" i="3" a="1"/>
  <c r="I92" i="3"/>
  <c r="I93" i="3" a="1"/>
  <c r="I93" i="3" s="1"/>
  <c r="I94" i="3" a="1"/>
  <c r="I94" i="3" s="1"/>
  <c r="I95" i="3" a="1"/>
  <c r="I95" i="3"/>
  <c r="I96" i="3" a="1"/>
  <c r="I96" i="3" s="1"/>
  <c r="I97" i="3" a="1"/>
  <c r="I97" i="3"/>
  <c r="I98" i="3" a="1"/>
  <c r="I98" i="3"/>
  <c r="I99" i="3" a="1"/>
  <c r="I99" i="3"/>
  <c r="I100" i="3" a="1"/>
  <c r="I100" i="3" s="1"/>
  <c r="I101" i="3" a="1"/>
  <c r="I101" i="3" s="1"/>
  <c r="I102" i="3" a="1"/>
  <c r="I102" i="3"/>
  <c r="I103" i="3" a="1"/>
  <c r="I103" i="3" s="1"/>
  <c r="I104" i="3" a="1"/>
  <c r="I104" i="3"/>
  <c r="I105" i="3" a="1"/>
  <c r="I105" i="3"/>
  <c r="I106" i="3" a="1"/>
  <c r="I106" i="3"/>
  <c r="I2" i="3" a="1"/>
  <c r="I2" i="3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<sst xmlns="http://schemas.openxmlformats.org/spreadsheetml/2006/main" count="605" uniqueCount="76">
  <si>
    <t>Agent</t>
  </si>
  <si>
    <t>Price</t>
  </si>
  <si>
    <t>Size</t>
  </si>
  <si>
    <t>Bedrooms</t>
  </si>
  <si>
    <t>Baths</t>
  </si>
  <si>
    <t>Pool (yes is 1)</t>
  </si>
  <si>
    <t>Garage (Yes is 1)</t>
  </si>
  <si>
    <t>Days</t>
  </si>
  <si>
    <t>Township</t>
  </si>
  <si>
    <t>Mortgage type</t>
  </si>
  <si>
    <t>Years</t>
  </si>
  <si>
    <t>FICO</t>
  </si>
  <si>
    <t>Default (Yes is 1)</t>
  </si>
  <si>
    <t>Marty</t>
  </si>
  <si>
    <t>Fixed</t>
  </si>
  <si>
    <t>Rose</t>
  </si>
  <si>
    <t>Carter</t>
  </si>
  <si>
    <t>Peterson</t>
  </si>
  <si>
    <t>Adjustable</t>
  </si>
  <si>
    <t>Isaacs</t>
  </si>
  <si>
    <t>Record</t>
  </si>
  <si>
    <t>Name of the real estate agent assigned to the property</t>
  </si>
  <si>
    <t>Market price in dollars</t>
  </si>
  <si>
    <t>Number of bedrooms</t>
  </si>
  <si>
    <t>Size of home in square feet</t>
  </si>
  <si>
    <t>Property ID number</t>
  </si>
  <si>
    <t>Number of bathrooms</t>
  </si>
  <si>
    <t>Pool</t>
  </si>
  <si>
    <t>1 if the home has a pool and 0 if it does not</t>
  </si>
  <si>
    <t>Garage</t>
  </si>
  <si>
    <t>1 if the home has a garage and 0 if it does not</t>
  </si>
  <si>
    <t>Data for 105 homes for sale in North Valley</t>
  </si>
  <si>
    <t>Number of days the property has been on the market</t>
  </si>
  <si>
    <t>Area where the property is located</t>
  </si>
  <si>
    <t>Mortgage Type</t>
  </si>
  <si>
    <t>Fixed rate or adjustable rate mortgage</t>
  </si>
  <si>
    <t>Number of years the mortgage has been paid</t>
  </si>
  <si>
    <t>credit score for the mortgage holder (highest possible score is 850 and the average score is 680, low is considered below 680, the lowest possible score is 300)</t>
  </si>
  <si>
    <t>Default</t>
  </si>
  <si>
    <t>Is the mortgage loan in default? Yes = 1 and No = 0</t>
  </si>
  <si>
    <t>Quality</t>
  </si>
  <si>
    <t>Pool Text</t>
  </si>
  <si>
    <t>Garage Text</t>
  </si>
  <si>
    <t>Quality Text</t>
  </si>
  <si>
    <t>Row Labels</t>
  </si>
  <si>
    <t>NO POOL</t>
  </si>
  <si>
    <t>POOL</t>
  </si>
  <si>
    <t>Grand Total</t>
  </si>
  <si>
    <t>Count of Record</t>
  </si>
  <si>
    <t>HIGH</t>
  </si>
  <si>
    <t>LOW</t>
  </si>
  <si>
    <t>MEDIUM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</si>
  <si>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</si>
  <si>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</si>
  <si>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</si>
  <si>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</si>
  <si>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</si>
  <si>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</si>
  <si>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</si>
  <si>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</si>
  <si>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</si>
  <si>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</si>
  <si>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</si>
  <si>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</si>
  <si>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</si>
  <si>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150000-224999</t>
  </si>
  <si>
    <t>225000-299999</t>
  </si>
  <si>
    <t>300000-374999</t>
  </si>
  <si>
    <t>375000-449999</t>
  </si>
  <si>
    <t>450000-524999</t>
  </si>
  <si>
    <t>525000-599999</t>
  </si>
  <si>
    <t>600000-674999</t>
  </si>
  <si>
    <t>675000-749999</t>
  </si>
  <si>
    <t>750000-824999</t>
  </si>
  <si>
    <t>825000-899999</t>
  </si>
  <si>
    <t>900000-974999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</si>
</sst>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2"/>
      <color theme="1"/>
      <name val="Comic Sans MS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theme="1"/>
      <name val="Comic Sans MS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omic Sans MS"/>
      <family val="2"/>
    </font>
    <font>
      <i/>
      <sz val="12"/>
      <color theme="1"/>
      <name val="Comic Sans MS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" fontId="1" fillId="2" borderId="5" xfId="0" applyNumberFormat="1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64" fontId="1" fillId="5" borderId="2" xfId="0" applyNumberFormat="1" applyFont="1" applyFill="1" applyBorder="1" applyAlignment="1">
      <alignment horizontal="center"/>
    </xf>
    <xf numFmtId="164" fontId="1" fillId="5" borderId="0" xfId="0" applyNumberFormat="1" applyFont="1" applyFill="1" applyBorder="1" applyAlignment="1">
      <alignment horizontal="center"/>
    </xf>
    <xf numFmtId="164" fontId="0" fillId="5" borderId="0" xfId="0" applyNumberFormat="1" applyFill="1" applyBorder="1" applyAlignment="1">
      <alignment horizontal="center"/>
    </xf>
    <xf numFmtId="3" fontId="1" fillId="5" borderId="2" xfId="0" applyNumberFormat="1" applyFont="1" applyFill="1" applyBorder="1" applyAlignment="1">
      <alignment horizontal="center"/>
    </xf>
    <xf numFmtId="3" fontId="1" fillId="5" borderId="0" xfId="0" applyNumberFormat="1" applyFont="1" applyFill="1" applyBorder="1" applyAlignment="1">
      <alignment horizontal="center"/>
    </xf>
    <xf numFmtId="3" fontId="0" fillId="5" borderId="0" xfId="0" applyNumberFormat="1" applyFill="1" applyBorder="1" applyAlignment="1">
      <alignment horizontal="center"/>
    </xf>
    <xf numFmtId="1" fontId="1" fillId="2" borderId="0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164" fontId="4" fillId="5" borderId="2" xfId="0" applyNumberFormat="1" applyFont="1" applyFill="1" applyBorder="1" applyAlignment="1">
      <alignment horizontal="center"/>
    </xf>
    <xf numFmtId="3" fontId="4" fillId="5" borderId="2" xfId="0" applyNumberFormat="1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5" fillId="0" borderId="0" xfId="0" applyFont="1"/>
    <xf numFmtId="0" fontId="4" fillId="3" borderId="6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ill="1" applyBorder="1" applyAlignment="1"/>
    <xf numFmtId="0" fontId="0" fillId="0" borderId="7" xfId="0" applyFill="1" applyBorder="1" applyAlignment="1"/>
    <xf numFmtId="0" fontId="6" fillId="0" borderId="8" xfId="0" applyFont="1" applyFill="1" applyBorder="1" applyAlignment="1">
      <alignment horizontal="center"/>
    </xf>
    <xf numFmtId="0" fontId="0" fillId="2" borderId="0" xfId="0" applyFill="1" applyBorder="1" applyAlignment="1"/>
    <xf numFmtId="0" fontId="0" fillId="6" borderId="0" xfId="0" applyFill="1" applyBorder="1" applyAlignment="1"/>
    <xf numFmtId="0" fontId="0" fillId="7" borderId="0" xfId="0" applyFill="1" applyBorder="1" applyAlignmen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heetMetadata" Target="metadata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tyles" Target="styles.xml"/><Relationship Id="rId5" Type="http://schemas.openxmlformats.org/officeDocument/2006/relationships/worksheet" Target="worksheets/sheet4.xml"/><Relationship Id="rId10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FICO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'Real Estate Data'!$N$2:$N$106</c:f>
              <c:numCache>
                <c:formatCode>General</c:formatCode>
                <c:ptCount val="105"/>
                <c:pt idx="0">
                  <c:v>824</c:v>
                </c:pt>
                <c:pt idx="1">
                  <c:v>820</c:v>
                </c:pt>
                <c:pt idx="2">
                  <c:v>819</c:v>
                </c:pt>
                <c:pt idx="3">
                  <c:v>817</c:v>
                </c:pt>
                <c:pt idx="4">
                  <c:v>816</c:v>
                </c:pt>
                <c:pt idx="5">
                  <c:v>813</c:v>
                </c:pt>
                <c:pt idx="6">
                  <c:v>813</c:v>
                </c:pt>
                <c:pt idx="7">
                  <c:v>812</c:v>
                </c:pt>
                <c:pt idx="8">
                  <c:v>810</c:v>
                </c:pt>
                <c:pt idx="9">
                  <c:v>808</c:v>
                </c:pt>
                <c:pt idx="10">
                  <c:v>806</c:v>
                </c:pt>
                <c:pt idx="11">
                  <c:v>805</c:v>
                </c:pt>
                <c:pt idx="12">
                  <c:v>801</c:v>
                </c:pt>
                <c:pt idx="13">
                  <c:v>798</c:v>
                </c:pt>
                <c:pt idx="14">
                  <c:v>795</c:v>
                </c:pt>
                <c:pt idx="15">
                  <c:v>792</c:v>
                </c:pt>
                <c:pt idx="16">
                  <c:v>792</c:v>
                </c:pt>
                <c:pt idx="17">
                  <c:v>788</c:v>
                </c:pt>
                <c:pt idx="18">
                  <c:v>786</c:v>
                </c:pt>
                <c:pt idx="19">
                  <c:v>785</c:v>
                </c:pt>
                <c:pt idx="20">
                  <c:v>784</c:v>
                </c:pt>
                <c:pt idx="21">
                  <c:v>782</c:v>
                </c:pt>
                <c:pt idx="22">
                  <c:v>781</c:v>
                </c:pt>
                <c:pt idx="23">
                  <c:v>780</c:v>
                </c:pt>
                <c:pt idx="24">
                  <c:v>776</c:v>
                </c:pt>
                <c:pt idx="25">
                  <c:v>773</c:v>
                </c:pt>
                <c:pt idx="26">
                  <c:v>772</c:v>
                </c:pt>
                <c:pt idx="27">
                  <c:v>772</c:v>
                </c:pt>
                <c:pt idx="28">
                  <c:v>769</c:v>
                </c:pt>
                <c:pt idx="29">
                  <c:v>769</c:v>
                </c:pt>
                <c:pt idx="30">
                  <c:v>766</c:v>
                </c:pt>
                <c:pt idx="31">
                  <c:v>763</c:v>
                </c:pt>
                <c:pt idx="32">
                  <c:v>759</c:v>
                </c:pt>
                <c:pt idx="33">
                  <c:v>758</c:v>
                </c:pt>
                <c:pt idx="34">
                  <c:v>754</c:v>
                </c:pt>
                <c:pt idx="35">
                  <c:v>753</c:v>
                </c:pt>
                <c:pt idx="36">
                  <c:v>752</c:v>
                </c:pt>
                <c:pt idx="37">
                  <c:v>751</c:v>
                </c:pt>
                <c:pt idx="38">
                  <c:v>749</c:v>
                </c:pt>
                <c:pt idx="39">
                  <c:v>748</c:v>
                </c:pt>
                <c:pt idx="40">
                  <c:v>746</c:v>
                </c:pt>
                <c:pt idx="41">
                  <c:v>741</c:v>
                </c:pt>
                <c:pt idx="42">
                  <c:v>740</c:v>
                </c:pt>
                <c:pt idx="43">
                  <c:v>739</c:v>
                </c:pt>
                <c:pt idx="44">
                  <c:v>737</c:v>
                </c:pt>
                <c:pt idx="45">
                  <c:v>737</c:v>
                </c:pt>
                <c:pt idx="46">
                  <c:v>736</c:v>
                </c:pt>
                <c:pt idx="47">
                  <c:v>736</c:v>
                </c:pt>
                <c:pt idx="48">
                  <c:v>735</c:v>
                </c:pt>
                <c:pt idx="49">
                  <c:v>731</c:v>
                </c:pt>
                <c:pt idx="50">
                  <c:v>729</c:v>
                </c:pt>
                <c:pt idx="51">
                  <c:v>728</c:v>
                </c:pt>
                <c:pt idx="52">
                  <c:v>726</c:v>
                </c:pt>
                <c:pt idx="53">
                  <c:v>726</c:v>
                </c:pt>
                <c:pt idx="54">
                  <c:v>723</c:v>
                </c:pt>
                <c:pt idx="55">
                  <c:v>715</c:v>
                </c:pt>
                <c:pt idx="56">
                  <c:v>710</c:v>
                </c:pt>
                <c:pt idx="57">
                  <c:v>710</c:v>
                </c:pt>
                <c:pt idx="58">
                  <c:v>707</c:v>
                </c:pt>
                <c:pt idx="59">
                  <c:v>704</c:v>
                </c:pt>
                <c:pt idx="60">
                  <c:v>703</c:v>
                </c:pt>
                <c:pt idx="61">
                  <c:v>701</c:v>
                </c:pt>
                <c:pt idx="62">
                  <c:v>675</c:v>
                </c:pt>
                <c:pt idx="63">
                  <c:v>674</c:v>
                </c:pt>
                <c:pt idx="64">
                  <c:v>673</c:v>
                </c:pt>
                <c:pt idx="65">
                  <c:v>673</c:v>
                </c:pt>
                <c:pt idx="66">
                  <c:v>670</c:v>
                </c:pt>
                <c:pt idx="67">
                  <c:v>669</c:v>
                </c:pt>
                <c:pt idx="68">
                  <c:v>667</c:v>
                </c:pt>
                <c:pt idx="69">
                  <c:v>665</c:v>
                </c:pt>
                <c:pt idx="70">
                  <c:v>662</c:v>
                </c:pt>
                <c:pt idx="71">
                  <c:v>656</c:v>
                </c:pt>
                <c:pt idx="72">
                  <c:v>653</c:v>
                </c:pt>
                <c:pt idx="73">
                  <c:v>652</c:v>
                </c:pt>
                <c:pt idx="74">
                  <c:v>647</c:v>
                </c:pt>
                <c:pt idx="75">
                  <c:v>644</c:v>
                </c:pt>
                <c:pt idx="76">
                  <c:v>642</c:v>
                </c:pt>
                <c:pt idx="77">
                  <c:v>639</c:v>
                </c:pt>
                <c:pt idx="78">
                  <c:v>639</c:v>
                </c:pt>
                <c:pt idx="79">
                  <c:v>631</c:v>
                </c:pt>
                <c:pt idx="80">
                  <c:v>630</c:v>
                </c:pt>
                <c:pt idx="81">
                  <c:v>626</c:v>
                </c:pt>
                <c:pt idx="82">
                  <c:v>626</c:v>
                </c:pt>
                <c:pt idx="83">
                  <c:v>624</c:v>
                </c:pt>
                <c:pt idx="84">
                  <c:v>623</c:v>
                </c:pt>
                <c:pt idx="85">
                  <c:v>618</c:v>
                </c:pt>
                <c:pt idx="86">
                  <c:v>618</c:v>
                </c:pt>
                <c:pt idx="87">
                  <c:v>614</c:v>
                </c:pt>
                <c:pt idx="88">
                  <c:v>614</c:v>
                </c:pt>
                <c:pt idx="89">
                  <c:v>613</c:v>
                </c:pt>
                <c:pt idx="90">
                  <c:v>609</c:v>
                </c:pt>
                <c:pt idx="91">
                  <c:v>609</c:v>
                </c:pt>
                <c:pt idx="92">
                  <c:v>605</c:v>
                </c:pt>
                <c:pt idx="93">
                  <c:v>604</c:v>
                </c:pt>
                <c:pt idx="94">
                  <c:v>601</c:v>
                </c:pt>
                <c:pt idx="95">
                  <c:v>599</c:v>
                </c:pt>
                <c:pt idx="96">
                  <c:v>596</c:v>
                </c:pt>
                <c:pt idx="97">
                  <c:v>595</c:v>
                </c:pt>
                <c:pt idx="98">
                  <c:v>595</c:v>
                </c:pt>
                <c:pt idx="99">
                  <c:v>593</c:v>
                </c:pt>
                <c:pt idx="100">
                  <c:v>591</c:v>
                </c:pt>
                <c:pt idx="101">
                  <c:v>591</c:v>
                </c:pt>
                <c:pt idx="102">
                  <c:v>590</c:v>
                </c:pt>
                <c:pt idx="103">
                  <c:v>584</c:v>
                </c:pt>
                <c:pt idx="104">
                  <c:v>583</c:v>
                </c:pt>
              </c:numCache>
            </c:numRef>
          </c:xVal>
          <c:yVal>
            <c:numRef>
              <c:f>'Real Estate Data'!$BV$27:$BV$131</c:f>
              <c:numCache>
                <c:formatCode>General</c:formatCode>
                <c:ptCount val="10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A3-4B37-B8B8-0DB5CC00E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4379608"/>
        <c:axId val="2105376392"/>
      </c:scatterChart>
      <c:valAx>
        <c:axId val="2114379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FICO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05376392"/>
        <c:crosses val="autoZero"/>
        <c:crossBetween val="midCat"/>
      </c:valAx>
      <c:valAx>
        <c:axId val="21053763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143796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Type code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'Real Estate 17e'!#REF!</c:f>
            </c:numRef>
          </c:xVal>
          <c:yVal>
            <c:numRef>
              <c:f>'Real Estate Data'!$BV$27:$BV$131</c:f>
              <c:numCache>
                <c:formatCode>General</c:formatCode>
                <c:ptCount val="10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23-439B-8FCD-45F71D6A2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5655432"/>
        <c:axId val="-2135650024"/>
      </c:scatterChart>
      <c:valAx>
        <c:axId val="-2135655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Type code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135650024"/>
        <c:crosses val="autoZero"/>
        <c:crossBetween val="midCat"/>
      </c:valAx>
      <c:valAx>
        <c:axId val="-21356500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1356554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'Real Estate Data'!$BX$27:$BX$131</c:f>
              <c:numCache>
                <c:formatCode>General</c:formatCode>
                <c:ptCount val="105"/>
              </c:numCache>
            </c:numRef>
          </c:xVal>
          <c:yVal>
            <c:numRef>
              <c:f>'Real Estate Data'!$BY$27:$BY$131</c:f>
              <c:numCache>
                <c:formatCode>General</c:formatCode>
                <c:ptCount val="10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84-42FB-9C93-A812D198B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7836904"/>
        <c:axId val="2105150072"/>
      </c:scatterChart>
      <c:valAx>
        <c:axId val="2097836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05150072"/>
        <c:crosses val="autoZero"/>
        <c:crossBetween val="midCat"/>
      </c:valAx>
      <c:valAx>
        <c:axId val="21051500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978369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 Valley Real Estate-Demo.xlsx]QUANT - Price!PivotTable4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Histogram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'QUANT - Price'!$B$3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'QUANT - Price'!$A$4:$A$15</c:f>
              <c:strCache>
                <c:ptCount val="11"/>
                <c:pt idx="0">
                  <c:v>150000-224999</c:v>
                </c:pt>
                <c:pt idx="1">
                  <c:v>225000-299999</c:v>
                </c:pt>
                <c:pt idx="2">
                  <c:v>300000-374999</c:v>
                </c:pt>
                <c:pt idx="3">
                  <c:v>375000-449999</c:v>
                </c:pt>
                <c:pt idx="4">
                  <c:v>450000-524999</c:v>
                </c:pt>
                <c:pt idx="5">
                  <c:v>525000-599999</c:v>
                </c:pt>
                <c:pt idx="6">
                  <c:v>600000-674999</c:v>
                </c:pt>
                <c:pt idx="7">
                  <c:v>675000-749999</c:v>
                </c:pt>
                <c:pt idx="8">
                  <c:v>750000-824999</c:v>
                </c:pt>
                <c:pt idx="9">
                  <c:v>825000-899999</c:v>
                </c:pt>
                <c:pt idx="10">
                  <c:v>900000-974999</c:v>
                </c:pt>
              </c:strCache>
            </c:strRef>
          </c:cat>
          <c:val>
            <c:numRef>
              <c:f>'QUANT - Price'!$B$4:$B$15</c:f>
              <c:numCache>
                <c:formatCode>General</c:formatCode>
                <c:ptCount val="11"/>
                <c:pt idx="0">
                  <c:v>19</c:v>
                </c:pt>
                <c:pt idx="1">
                  <c:v>24</c:v>
                </c:pt>
                <c:pt idx="2">
                  <c:v>27</c:v>
                </c:pt>
                <c:pt idx="3">
                  <c:v>15</c:v>
                </c:pt>
                <c:pt idx="4">
                  <c:v>7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C6-4F7C-8BE4-54D288218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7996112"/>
        <c:axId val="1237999472"/>
      </c:barChart>
      <c:catAx>
        <c:axId val="123799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999472"/>
        <c:crosses val="autoZero"/>
        <c:auto val="1"/>
        <c:lblAlgn val="ctr"/>
        <c:lblOffset val="100"/>
        <c:noMultiLvlLbl val="0"/>
      </c:catAx>
      <c:valAx>
        <c:axId val="12379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996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 Valley Real Estate-Demo.xlsx]CAT - Quality!PivotTable3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Distribution for House 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 - Quality'!$B$3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 - Quality'!$A$4:$A$7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'CAT - Quality'!$B$4:$B$7</c:f>
              <c:numCache>
                <c:formatCode>General</c:formatCode>
                <c:ptCount val="3"/>
                <c:pt idx="0">
                  <c:v>13</c:v>
                </c:pt>
                <c:pt idx="1">
                  <c:v>73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3E-449F-A160-3295FE589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1554463"/>
        <c:axId val="1271553023"/>
      </c:barChart>
      <c:catAx>
        <c:axId val="127155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553023"/>
        <c:crosses val="autoZero"/>
        <c:auto val="1"/>
        <c:lblAlgn val="ctr"/>
        <c:lblOffset val="100"/>
        <c:noMultiLvlLbl val="0"/>
      </c:catAx>
      <c:valAx>
        <c:axId val="127155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55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 Valley Real Estate-Demo.xlsx]CAT - Pool!PivotTable2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Houses with</a:t>
            </a:r>
            <a:r>
              <a:rPr lang="en-US" baseline="0"/>
              <a:t> a Pool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'CAT - Pool'!$B$3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'CAT - Pool'!$A$4:$A$6</c:f>
              <c:strCache>
                <c:ptCount val="2"/>
                <c:pt idx="0">
                  <c:v>NO POOL</c:v>
                </c:pt>
                <c:pt idx="1">
                  <c:v>POOL</c:v>
                </c:pt>
              </c:strCache>
            </c:strRef>
          </c:cat>
          <c:val>
            <c:numRef>
              <c:f>'CAT - Pool'!$B$4:$B$6</c:f>
              <c:numCache>
                <c:formatCode>General</c:formatCode>
                <c:ptCount val="2"/>
                <c:pt idx="0">
                  <c:v>38</c:v>
                </c:pt>
                <c:pt idx="1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8A-44D0-A693-C722E2523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 Valley Real Estate-Demo.xlsx]CAT - Pool!PivotTable2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 - Pool'!$B$3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 - Pool'!$A$4:$A$6</c:f>
              <c:strCache>
                <c:ptCount val="2"/>
                <c:pt idx="0">
                  <c:v>NO POOL</c:v>
                </c:pt>
                <c:pt idx="1">
                  <c:v>POOL</c:v>
                </c:pt>
              </c:strCache>
            </c:strRef>
          </c:cat>
          <c:val>
            <c:numRef>
              <c:f>'CAT - Pool'!$B$4:$B$6</c:f>
              <c:numCache>
                <c:formatCode>General</c:formatCode>
                <c:ptCount val="2"/>
                <c:pt idx="0">
                  <c:v>38</c:v>
                </c:pt>
                <c:pt idx="1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C7-47E9-86DA-B26AA8EB7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6417727"/>
        <c:axId val="1376418207"/>
      </c:barChart>
      <c:catAx>
        <c:axId val="137641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418207"/>
        <c:crosses val="autoZero"/>
        <c:auto val="1"/>
        <c:lblAlgn val="ctr"/>
        <c:lblOffset val="100"/>
        <c:noMultiLvlLbl val="0"/>
      </c:catAx>
      <c:valAx>
        <c:axId val="137641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41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Box and Whisker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Box and Whisker</a:t>
          </a:r>
        </a:p>
      </cx:txPr>
    </cx:title>
    <cx:plotArea>
      <cx:plotAreaRegion>
        <cx:series layoutId="boxWhisker" uniqueId="{51355252-33AF-4AA2-B1C5-BA24EC720D23}">
          <cx:tx>
            <cx:txData>
              <cx:f>_xlchart.v1.0</cx:f>
              <cx:v>Price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4B98DD6-EF3E-40EC-9CB1-8086882E30DB}">
  <sheetPr/>
  <sheetViews>
    <sheetView tabSelected="1" zoomScale="7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73</xdr:col>
      <xdr:colOff>314325</xdr:colOff>
      <xdr:row>83</xdr:row>
      <xdr:rowOff>52387</xdr:rowOff>
    </xdr:from>
    <xdr:to>
      <xdr:col>79</xdr:col>
      <xdr:colOff>314325</xdr:colOff>
      <xdr:row>94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74</xdr:col>
      <xdr:colOff>314325</xdr:colOff>
      <xdr:row>83</xdr:row>
      <xdr:rowOff>52387</xdr:rowOff>
    </xdr:from>
    <xdr:to>
      <xdr:col>80</xdr:col>
      <xdr:colOff>314325</xdr:colOff>
      <xdr:row>94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75</xdr:col>
      <xdr:colOff>314325</xdr:colOff>
      <xdr:row>83</xdr:row>
      <xdr:rowOff>52387</xdr:rowOff>
    </xdr:from>
    <xdr:to>
      <xdr:col>81</xdr:col>
      <xdr:colOff>314325</xdr:colOff>
      <xdr:row>94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0694" cy="6279444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18B69A6-04D4-57C3-F1F8-8BFC28300B45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14350D0A-1FCF-2589-1B7A-A58B3474FC25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60694" cy="6279444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1</xdr:row>
      <xdr:rowOff>69850</xdr:rowOff>
    </xdr:from>
    <xdr:to>
      <xdr:col>11</xdr:col>
      <xdr:colOff>666750</xdr:colOff>
      <xdr:row>20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CF0284-7CB5-A679-A9DA-2AF67C91F2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1</xdr:row>
      <xdr:rowOff>142875</xdr:rowOff>
    </xdr:from>
    <xdr:to>
      <xdr:col>6</xdr:col>
      <xdr:colOff>781050</xdr:colOff>
      <xdr:row>12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36A1ED-9F7C-AF72-07C8-382480252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526274</xdr:colOff>
      <xdr:row>6</xdr:row>
      <xdr:rowOff>154483</xdr:rowOff>
    </xdr:from>
    <xdr:to>
      <xdr:col>9</xdr:col>
      <xdr:colOff>778192</xdr:colOff>
      <xdr:row>18</xdr:row>
      <xdr:rowOff>149486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04AFA3-E705-2DB0-8B67-5C1A2FF2B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14111</xdr:colOff>
      <xdr:row>6</xdr:row>
      <xdr:rowOff>131233</xdr:rowOff>
    </xdr:from>
    <xdr:to>
      <xdr:col>4</xdr:col>
      <xdr:colOff>444500</xdr:colOff>
      <xdr:row>18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3347ED-20A6-8BA0-96B3-B2FCCA2B3A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rew Caldwell" refreshedDate="46035.829322106481" createdVersion="8" refreshedVersion="8" minRefreshableVersion="3" recordCount="105" xr:uid="{C58EF340-3EDB-476A-AB41-65FCC9897BBC}">
  <cacheSource type="worksheet">
    <worksheetSource ref="A1:R106" sheet="Prepared Data"/>
  </cacheSource>
  <cacheFields count="18">
    <cacheField name="Record" numFmtId="0">
      <sharedItems containsSemiMixedTypes="0" containsString="0" containsNumber="1" containsInteger="1" minValue="1" maxValue="105"/>
    </cacheField>
    <cacheField name="Agent" numFmtId="0">
      <sharedItems/>
    </cacheField>
    <cacheField name="Pool (yes is 1)" numFmtId="0">
      <sharedItems containsSemiMixedTypes="0" containsString="0" containsNumber="1" containsInteger="1" minValue="0" maxValue="1"/>
    </cacheField>
    <cacheField name="Pool Text" numFmtId="0">
      <sharedItems count="2">
        <s v="POOL"/>
        <s v="NO POOL"/>
      </sharedItems>
    </cacheField>
    <cacheField name="Garage (Yes is 1)" numFmtId="0">
      <sharedItems containsSemiMixedTypes="0" containsString="0" containsNumber="1" containsInteger="1" minValue="0" maxValue="1"/>
    </cacheField>
    <cacheField name="Garage Text" numFmtId="0">
      <sharedItems/>
    </cacheField>
    <cacheField name="Township" numFmtId="0">
      <sharedItems containsSemiMixedTypes="0" containsString="0" containsNumber="1" containsInteger="1" minValue="1" maxValue="5"/>
    </cacheField>
    <cacheField name="Quality" numFmtId="0">
      <sharedItems containsSemiMixedTypes="0" containsString="0" containsNumber="1" containsInteger="1" minValue="1" maxValue="3"/>
    </cacheField>
    <cacheField name="Quality Text" numFmtId="0">
      <sharedItems count="3">
        <s v="MEDIUM"/>
        <s v="HIGH"/>
        <s v="LOW"/>
      </sharedItems>
    </cacheField>
    <cacheField name="Mortgage type" numFmtId="0">
      <sharedItems/>
    </cacheField>
    <cacheField name="Default (Yes is 1)" numFmtId="1">
      <sharedItems containsSemiMixedTypes="0" containsString="0" containsNumber="1" containsInteger="1" minValue="0" maxValue="1"/>
    </cacheField>
    <cacheField name="Price" numFmtId="164">
      <sharedItems containsSemiMixedTypes="0" containsString="0" containsNumber="1" containsInteger="1" minValue="167962" maxValue="919480" count="105">
        <n v="206424"/>
        <n v="346150"/>
        <n v="372360"/>
        <n v="310622"/>
        <n v="496100"/>
        <n v="294086"/>
        <n v="228810"/>
        <n v="384420"/>
        <n v="416120"/>
        <n v="487494"/>
        <n v="448800"/>
        <n v="388960"/>
        <n v="335610"/>
        <n v="276000"/>
        <n v="346421"/>
        <n v="453913"/>
        <n v="376146"/>
        <n v="694430"/>
        <n v="251269"/>
        <n v="547596"/>
        <n v="214910"/>
        <n v="188799"/>
        <n v="459950"/>
        <n v="264160"/>
        <n v="393557"/>
        <n v="478675"/>
        <n v="384020"/>
        <n v="313200"/>
        <n v="274482"/>
        <n v="167962"/>
        <n v="175823"/>
        <n v="226498"/>
        <n v="316827"/>
        <n v="189984"/>
        <n v="366350"/>
        <n v="416160"/>
        <n v="308000"/>
        <n v="294357"/>
        <n v="337144"/>
        <n v="299730"/>
        <n v="445740"/>
        <n v="410592"/>
        <n v="667732"/>
        <n v="523584"/>
        <n v="336000"/>
        <n v="202598"/>
        <n v="326695"/>
        <n v="321320"/>
        <n v="246820"/>
        <n v="546084"/>
        <n v="793084"/>
        <n v="174528"/>
        <n v="392554"/>
        <n v="263160"/>
        <n v="237120"/>
        <n v="225750"/>
        <n v="848420"/>
        <n v="371956"/>
        <n v="404538"/>
        <n v="250090"/>
        <n v="369978"/>
        <n v="209292"/>
        <n v="190032"/>
        <n v="216720"/>
        <n v="323417"/>
        <n v="316210"/>
        <n v="226054"/>
        <n v="183920"/>
        <n v="248400"/>
        <n v="466560"/>
        <n v="667212"/>
        <n v="362710"/>
        <n v="265440"/>
        <n v="706596"/>
        <n v="293700"/>
        <n v="199448"/>
        <n v="369533"/>
        <n v="230121"/>
        <n v="169000"/>
        <n v="190291"/>
        <n v="393584"/>
        <n v="363792"/>
        <n v="360960"/>
        <n v="310877"/>
        <n v="919480"/>
        <n v="392904"/>
        <n v="200928"/>
        <n v="537900"/>
        <n v="258120"/>
        <n v="558342"/>
        <n v="302720"/>
        <n v="240115"/>
        <n v="793656"/>
        <n v="218862"/>
        <n v="383081"/>
        <n v="351520"/>
        <n v="841491"/>
        <n v="336300"/>
        <n v="312863"/>
        <n v="275033"/>
        <n v="229990"/>
        <n v="195257"/>
        <n v="194238"/>
        <n v="348528"/>
        <n v="241920"/>
      </sharedItems>
      <fieldGroup base="11">
        <rangePr autoStart="0" autoEnd="0" startNum="150000" endNum="1000000" groupInterval="75000"/>
        <groupItems count="14">
          <s v="&lt;150000"/>
          <s v="150000-224999"/>
          <s v="225000-299999"/>
          <s v="300000-374999"/>
          <s v="375000-449999"/>
          <s v="450000-524999"/>
          <s v="525000-599999"/>
          <s v="600000-674999"/>
          <s v="675000-749999"/>
          <s v="750000-824999"/>
          <s v="825000-899999"/>
          <s v="900000-974999"/>
          <s v="975000-1049999"/>
          <s v="&gt;1050000"/>
        </groupItems>
      </fieldGroup>
    </cacheField>
    <cacheField name="Size" numFmtId="3">
      <sharedItems containsSemiMixedTypes="0" containsString="0" containsNumber="1" containsInteger="1" minValue="1550" maxValue="7670"/>
    </cacheField>
    <cacheField name="Days" numFmtId="0">
      <sharedItems containsSemiMixedTypes="0" containsString="0" containsNumber="1" containsInteger="1" minValue="2" maxValue="58"/>
    </cacheField>
    <cacheField name="Years" numFmtId="0">
      <sharedItems containsSemiMixedTypes="0" containsString="0" containsNumber="1" containsInteger="1" minValue="1" maxValue="20"/>
    </cacheField>
    <cacheField name="FICO" numFmtId="0">
      <sharedItems containsSemiMixedTypes="0" containsString="0" containsNumber="1" containsInteger="1" minValue="583" maxValue="824"/>
    </cacheField>
    <cacheField name="Bedrooms" numFmtId="0">
      <sharedItems containsSemiMixedTypes="0" containsString="0" containsNumber="1" containsInteger="1" minValue="2" maxValue="8"/>
    </cacheField>
    <cacheField name="Baths" numFmtId="0">
      <sharedItems containsSemiMixedTypes="0" containsString="0" containsNumber="1" minValue="1.5" maxValue="5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n v="1"/>
    <s v="Marty"/>
    <n v="1"/>
    <x v="0"/>
    <n v="1"/>
    <s v="GARAGE"/>
    <n v="2"/>
    <n v="2"/>
    <x v="0"/>
    <s v="Fixed"/>
    <n v="0"/>
    <x v="0"/>
    <n v="1820"/>
    <n v="33"/>
    <n v="2"/>
    <n v="824"/>
    <n v="2"/>
    <n v="1.5"/>
  </r>
  <r>
    <n v="2"/>
    <s v="Rose"/>
    <n v="0"/>
    <x v="1"/>
    <n v="0"/>
    <s v="NO GARAGE"/>
    <n v="4"/>
    <n v="2"/>
    <x v="0"/>
    <s v="Fixed"/>
    <n v="0"/>
    <x v="1"/>
    <n v="3010"/>
    <n v="36"/>
    <n v="9"/>
    <n v="820"/>
    <n v="3"/>
    <n v="2"/>
  </r>
  <r>
    <n v="3"/>
    <s v="Carter"/>
    <n v="0"/>
    <x v="1"/>
    <n v="1"/>
    <s v="GARAGE"/>
    <n v="2"/>
    <n v="2"/>
    <x v="0"/>
    <s v="Fixed"/>
    <n v="0"/>
    <x v="2"/>
    <n v="3210"/>
    <n v="21"/>
    <n v="18"/>
    <n v="819"/>
    <n v="4"/>
    <n v="3"/>
  </r>
  <r>
    <n v="4"/>
    <s v="Peterson"/>
    <n v="1"/>
    <x v="0"/>
    <n v="0"/>
    <s v="NO GARAGE"/>
    <n v="3"/>
    <n v="3"/>
    <x v="1"/>
    <s v="Fixed"/>
    <n v="0"/>
    <x v="3"/>
    <n v="3330"/>
    <n v="26"/>
    <n v="17"/>
    <n v="817"/>
    <n v="3"/>
    <n v="2.5"/>
  </r>
  <r>
    <n v="5"/>
    <s v="Carter"/>
    <n v="0"/>
    <x v="1"/>
    <n v="1"/>
    <s v="GARAGE"/>
    <n v="4"/>
    <n v="1"/>
    <x v="2"/>
    <s v="Fixed"/>
    <n v="0"/>
    <x v="4"/>
    <n v="4510"/>
    <n v="13"/>
    <n v="17"/>
    <n v="816"/>
    <n v="6"/>
    <n v="4.5"/>
  </r>
  <r>
    <n v="6"/>
    <s v="Peterson"/>
    <n v="1"/>
    <x v="0"/>
    <n v="1"/>
    <s v="GARAGE"/>
    <n v="4"/>
    <n v="2"/>
    <x v="0"/>
    <s v="Fixed"/>
    <n v="0"/>
    <x v="5"/>
    <n v="3440"/>
    <n v="31"/>
    <n v="19"/>
    <n v="813"/>
    <n v="4"/>
    <n v="3"/>
  </r>
  <r>
    <n v="7"/>
    <s v="Carter"/>
    <n v="0"/>
    <x v="1"/>
    <n v="1"/>
    <s v="GARAGE"/>
    <n v="4"/>
    <n v="1"/>
    <x v="2"/>
    <s v="Adjustable"/>
    <n v="0"/>
    <x v="6"/>
    <n v="2630"/>
    <n v="39"/>
    <n v="10"/>
    <n v="813"/>
    <n v="4"/>
    <n v="2.5"/>
  </r>
  <r>
    <n v="8"/>
    <s v="Isaacs"/>
    <n v="0"/>
    <x v="1"/>
    <n v="1"/>
    <s v="GARAGE"/>
    <n v="2"/>
    <n v="3"/>
    <x v="1"/>
    <s v="Fixed"/>
    <n v="0"/>
    <x v="7"/>
    <n v="4470"/>
    <n v="26"/>
    <n v="6"/>
    <n v="812"/>
    <n v="5"/>
    <n v="3.5"/>
  </r>
  <r>
    <n v="9"/>
    <s v="Peterson"/>
    <n v="0"/>
    <x v="1"/>
    <n v="1"/>
    <s v="GARAGE"/>
    <n v="4"/>
    <n v="3"/>
    <x v="1"/>
    <s v="Fixed"/>
    <n v="0"/>
    <x v="8"/>
    <n v="4040"/>
    <n v="26"/>
    <n v="3"/>
    <n v="810"/>
    <n v="5"/>
    <n v="3.5"/>
  </r>
  <r>
    <n v="10"/>
    <s v="Isaacs"/>
    <n v="1"/>
    <x v="0"/>
    <n v="1"/>
    <s v="GARAGE"/>
    <n v="3"/>
    <n v="2"/>
    <x v="0"/>
    <s v="Fixed"/>
    <n v="0"/>
    <x v="9"/>
    <n v="4380"/>
    <n v="32"/>
    <n v="6"/>
    <n v="808"/>
    <n v="6"/>
    <n v="4"/>
  </r>
  <r>
    <n v="11"/>
    <s v="Rose"/>
    <n v="0"/>
    <x v="1"/>
    <n v="1"/>
    <s v="GARAGE"/>
    <n v="4"/>
    <n v="2"/>
    <x v="0"/>
    <s v="Fixed"/>
    <n v="1"/>
    <x v="10"/>
    <n v="5280"/>
    <n v="35"/>
    <n v="8"/>
    <n v="806"/>
    <n v="6"/>
    <n v="4"/>
  </r>
  <r>
    <n v="12"/>
    <s v="Peterson"/>
    <n v="0"/>
    <x v="1"/>
    <n v="1"/>
    <s v="GARAGE"/>
    <n v="2"/>
    <n v="2"/>
    <x v="0"/>
    <s v="Adjustable"/>
    <n v="1"/>
    <x v="11"/>
    <n v="4420"/>
    <n v="50"/>
    <n v="9"/>
    <n v="805"/>
    <n v="4"/>
    <n v="3"/>
  </r>
  <r>
    <n v="13"/>
    <s v="Marty"/>
    <n v="0"/>
    <x v="1"/>
    <n v="1"/>
    <s v="GARAGE"/>
    <n v="3"/>
    <n v="2"/>
    <x v="0"/>
    <s v="Adjustable"/>
    <n v="1"/>
    <x v="12"/>
    <n v="2970"/>
    <n v="25"/>
    <n v="9"/>
    <n v="801"/>
    <n v="3"/>
    <n v="2.5"/>
  </r>
  <r>
    <n v="14"/>
    <s v="Rose"/>
    <n v="0"/>
    <x v="1"/>
    <n v="0"/>
    <s v="NO GARAGE"/>
    <n v="1"/>
    <n v="2"/>
    <x v="0"/>
    <s v="Fixed"/>
    <n v="0"/>
    <x v="13"/>
    <n v="2300"/>
    <n v="34"/>
    <n v="20"/>
    <n v="798"/>
    <n v="2"/>
    <n v="1.5"/>
  </r>
  <r>
    <n v="15"/>
    <s v="Rose"/>
    <n v="1"/>
    <x v="0"/>
    <n v="1"/>
    <s v="GARAGE"/>
    <n v="3"/>
    <n v="2"/>
    <x v="0"/>
    <s v="Adjustable"/>
    <n v="0"/>
    <x v="14"/>
    <n v="2970"/>
    <n v="17"/>
    <n v="10"/>
    <n v="795"/>
    <n v="4"/>
    <n v="3"/>
  </r>
  <r>
    <n v="16"/>
    <s v="Isaacs"/>
    <n v="1"/>
    <x v="0"/>
    <n v="1"/>
    <s v="GARAGE"/>
    <n v="3"/>
    <n v="2"/>
    <x v="0"/>
    <s v="Fixed"/>
    <n v="0"/>
    <x v="15"/>
    <n v="3660"/>
    <n v="12"/>
    <n v="18"/>
    <n v="792"/>
    <n v="6"/>
    <n v="4"/>
  </r>
  <r>
    <n v="17"/>
    <s v="Carter"/>
    <n v="1"/>
    <x v="0"/>
    <n v="1"/>
    <s v="GARAGE"/>
    <n v="2"/>
    <n v="1"/>
    <x v="2"/>
    <s v="Adjustable"/>
    <n v="1"/>
    <x v="16"/>
    <n v="3290"/>
    <n v="28"/>
    <n v="9"/>
    <n v="792"/>
    <n v="5"/>
    <n v="3.5"/>
  </r>
  <r>
    <n v="18"/>
    <s v="Peterson"/>
    <n v="1"/>
    <x v="0"/>
    <n v="1"/>
    <s v="GARAGE"/>
    <n v="3"/>
    <n v="2"/>
    <x v="0"/>
    <s v="Adjustable"/>
    <n v="0"/>
    <x v="17"/>
    <n v="5900"/>
    <n v="36"/>
    <n v="10"/>
    <n v="788"/>
    <n v="5"/>
    <n v="3.5"/>
  </r>
  <r>
    <n v="19"/>
    <s v="Rose"/>
    <n v="1"/>
    <x v="0"/>
    <n v="1"/>
    <s v="GARAGE"/>
    <n v="3"/>
    <n v="3"/>
    <x v="1"/>
    <s v="Fixed"/>
    <n v="0"/>
    <x v="18"/>
    <n v="2050"/>
    <n v="38"/>
    <n v="16"/>
    <n v="786"/>
    <n v="3"/>
    <n v="2"/>
  </r>
  <r>
    <n v="20"/>
    <s v="Rose"/>
    <n v="1"/>
    <x v="0"/>
    <n v="1"/>
    <s v="GARAGE"/>
    <n v="5"/>
    <n v="2"/>
    <x v="0"/>
    <s v="Fixed"/>
    <n v="0"/>
    <x v="19"/>
    <n v="4920"/>
    <n v="37"/>
    <n v="2"/>
    <n v="785"/>
    <n v="6"/>
    <n v="4.5"/>
  </r>
  <r>
    <n v="21"/>
    <s v="Marty"/>
    <n v="1"/>
    <x v="0"/>
    <n v="0"/>
    <s v="NO GARAGE"/>
    <n v="4"/>
    <n v="2"/>
    <x v="0"/>
    <s v="Fixed"/>
    <n v="0"/>
    <x v="20"/>
    <n v="1950"/>
    <n v="20"/>
    <n v="6"/>
    <n v="784"/>
    <n v="2"/>
    <n v="1.5"/>
  </r>
  <r>
    <n v="22"/>
    <s v="Rose"/>
    <n v="1"/>
    <x v="0"/>
    <n v="0"/>
    <s v="NO GARAGE"/>
    <n v="1"/>
    <n v="2"/>
    <x v="0"/>
    <s v="Fixed"/>
    <n v="0"/>
    <x v="21"/>
    <n v="1950"/>
    <n v="52"/>
    <n v="10"/>
    <n v="782"/>
    <n v="2"/>
    <n v="1.5"/>
  </r>
  <r>
    <n v="23"/>
    <s v="Carter"/>
    <n v="1"/>
    <x v="0"/>
    <n v="1"/>
    <s v="GARAGE"/>
    <n v="4"/>
    <n v="3"/>
    <x v="1"/>
    <s v="Fixed"/>
    <n v="0"/>
    <x v="22"/>
    <n v="4680"/>
    <n v="31"/>
    <n v="8"/>
    <n v="781"/>
    <n v="4"/>
    <n v="3"/>
  </r>
  <r>
    <n v="24"/>
    <s v="Isaacs"/>
    <n v="0"/>
    <x v="1"/>
    <n v="1"/>
    <s v="GARAGE"/>
    <n v="1"/>
    <n v="2"/>
    <x v="0"/>
    <s v="Fixed"/>
    <n v="0"/>
    <x v="23"/>
    <n v="2540"/>
    <n v="40"/>
    <n v="18"/>
    <n v="780"/>
    <n v="3"/>
    <n v="2.5"/>
  </r>
  <r>
    <n v="25"/>
    <s v="Carter"/>
    <n v="1"/>
    <x v="0"/>
    <n v="1"/>
    <s v="GARAGE"/>
    <n v="1"/>
    <n v="3"/>
    <x v="1"/>
    <s v="Fixed"/>
    <n v="0"/>
    <x v="24"/>
    <n v="3180"/>
    <n v="54"/>
    <n v="20"/>
    <n v="776"/>
    <n v="4"/>
    <n v="3"/>
  </r>
  <r>
    <n v="26"/>
    <s v="Isaacs"/>
    <n v="1"/>
    <x v="0"/>
    <n v="1"/>
    <s v="GARAGE"/>
    <n v="5"/>
    <n v="2"/>
    <x v="0"/>
    <s v="Adjustable"/>
    <n v="0"/>
    <x v="25"/>
    <n v="4660"/>
    <n v="26"/>
    <n v="9"/>
    <n v="773"/>
    <n v="5"/>
    <n v="3.5"/>
  </r>
  <r>
    <n v="27"/>
    <s v="Carter"/>
    <n v="0"/>
    <x v="1"/>
    <n v="1"/>
    <s v="GARAGE"/>
    <n v="4"/>
    <n v="2"/>
    <x v="0"/>
    <s v="Adjustable"/>
    <n v="1"/>
    <x v="26"/>
    <n v="4220"/>
    <n v="23"/>
    <n v="9"/>
    <n v="772"/>
    <n v="5"/>
    <n v="3.5"/>
  </r>
  <r>
    <n v="28"/>
    <s v="Marty"/>
    <n v="0"/>
    <x v="1"/>
    <n v="1"/>
    <s v="GARAGE"/>
    <n v="3"/>
    <n v="1"/>
    <x v="2"/>
    <s v="Fixed"/>
    <n v="0"/>
    <x v="27"/>
    <n v="3600"/>
    <n v="31"/>
    <n v="19"/>
    <n v="772"/>
    <n v="4"/>
    <n v="3"/>
  </r>
  <r>
    <n v="29"/>
    <s v="Isaacs"/>
    <n v="1"/>
    <x v="0"/>
    <n v="0"/>
    <s v="NO GARAGE"/>
    <n v="3"/>
    <n v="1"/>
    <x v="2"/>
    <s v="Fixed"/>
    <n v="0"/>
    <x v="28"/>
    <n v="2990"/>
    <n v="37"/>
    <n v="5"/>
    <n v="769"/>
    <n v="3"/>
    <n v="2"/>
  </r>
  <r>
    <n v="30"/>
    <s v="Marty"/>
    <n v="1"/>
    <x v="0"/>
    <n v="1"/>
    <s v="GARAGE"/>
    <n v="5"/>
    <n v="2"/>
    <x v="0"/>
    <s v="Fixed"/>
    <n v="0"/>
    <x v="29"/>
    <n v="1920"/>
    <n v="31"/>
    <n v="6"/>
    <n v="769"/>
    <n v="2"/>
    <n v="1.5"/>
  </r>
  <r>
    <n v="31"/>
    <s v="Isaacs"/>
    <n v="1"/>
    <x v="0"/>
    <n v="0"/>
    <s v="NO GARAGE"/>
    <n v="5"/>
    <n v="2"/>
    <x v="0"/>
    <s v="Adjustable"/>
    <n v="1"/>
    <x v="30"/>
    <n v="1970"/>
    <n v="28"/>
    <n v="9"/>
    <n v="766"/>
    <n v="2"/>
    <n v="1.5"/>
  </r>
  <r>
    <n v="32"/>
    <s v="Isaacs"/>
    <n v="1"/>
    <x v="0"/>
    <n v="1"/>
    <s v="GARAGE"/>
    <n v="3"/>
    <n v="2"/>
    <x v="0"/>
    <s v="Fixed"/>
    <n v="1"/>
    <x v="31"/>
    <n v="2520"/>
    <n v="28"/>
    <n v="8"/>
    <n v="763"/>
    <n v="4"/>
    <n v="3"/>
  </r>
  <r>
    <n v="33"/>
    <s v="Carter"/>
    <n v="1"/>
    <x v="0"/>
    <n v="1"/>
    <s v="GARAGE"/>
    <n v="4"/>
    <n v="2"/>
    <x v="0"/>
    <s v="Fixed"/>
    <n v="1"/>
    <x v="32"/>
    <n v="3150"/>
    <n v="22"/>
    <n v="2"/>
    <n v="759"/>
    <n v="4"/>
    <n v="3"/>
  </r>
  <r>
    <n v="34"/>
    <s v="Carter"/>
    <n v="1"/>
    <x v="0"/>
    <n v="0"/>
    <s v="NO GARAGE"/>
    <n v="2"/>
    <n v="2"/>
    <x v="0"/>
    <s v="Fixed"/>
    <n v="0"/>
    <x v="33"/>
    <n v="1550"/>
    <n v="22"/>
    <n v="17"/>
    <n v="758"/>
    <n v="2"/>
    <n v="1.5"/>
  </r>
  <r>
    <n v="35"/>
    <s v="Marty"/>
    <n v="1"/>
    <x v="0"/>
    <n v="1"/>
    <s v="GARAGE"/>
    <n v="3"/>
    <n v="3"/>
    <x v="1"/>
    <s v="Fixed"/>
    <n v="1"/>
    <x v="34"/>
    <n v="3090"/>
    <n v="23"/>
    <n v="5"/>
    <n v="754"/>
    <n v="3"/>
    <n v="2"/>
  </r>
  <r>
    <n v="36"/>
    <s v="Isaacs"/>
    <n v="0"/>
    <x v="1"/>
    <n v="1"/>
    <s v="GARAGE"/>
    <n v="4"/>
    <n v="2"/>
    <x v="0"/>
    <s v="Fixed"/>
    <n v="0"/>
    <x v="35"/>
    <n v="4080"/>
    <n v="25"/>
    <n v="12"/>
    <n v="753"/>
    <n v="4"/>
    <n v="3"/>
  </r>
  <r>
    <n v="37"/>
    <s v="Isaacs"/>
    <n v="0"/>
    <x v="1"/>
    <n v="1"/>
    <s v="GARAGE"/>
    <n v="2"/>
    <n v="2"/>
    <x v="0"/>
    <s v="Fixed"/>
    <n v="0"/>
    <x v="36"/>
    <n v="3500"/>
    <n v="37"/>
    <n v="18"/>
    <n v="752"/>
    <n v="4"/>
    <n v="3"/>
  </r>
  <r>
    <n v="38"/>
    <s v="Rose"/>
    <n v="1"/>
    <x v="0"/>
    <n v="1"/>
    <s v="GARAGE"/>
    <n v="4"/>
    <n v="3"/>
    <x v="1"/>
    <s v="Fixed"/>
    <n v="0"/>
    <x v="37"/>
    <n v="2620"/>
    <n v="15"/>
    <n v="10"/>
    <n v="751"/>
    <n v="4"/>
    <n v="3"/>
  </r>
  <r>
    <n v="39"/>
    <s v="Carter"/>
    <n v="1"/>
    <x v="0"/>
    <n v="1"/>
    <s v="GARAGE"/>
    <n v="3"/>
    <n v="2"/>
    <x v="0"/>
    <s v="Fixed"/>
    <n v="0"/>
    <x v="38"/>
    <n v="2790"/>
    <n v="19"/>
    <n v="15"/>
    <n v="749"/>
    <n v="4"/>
    <n v="3"/>
  </r>
  <r>
    <n v="40"/>
    <s v="Peterson"/>
    <n v="0"/>
    <x v="1"/>
    <n v="0"/>
    <s v="NO GARAGE"/>
    <n v="2"/>
    <n v="2"/>
    <x v="0"/>
    <s v="Fixed"/>
    <n v="0"/>
    <x v="39"/>
    <n v="2910"/>
    <n v="31"/>
    <n v="13"/>
    <n v="748"/>
    <n v="3"/>
    <n v="2"/>
  </r>
  <r>
    <n v="41"/>
    <s v="Rose"/>
    <n v="0"/>
    <x v="1"/>
    <n v="1"/>
    <s v="GARAGE"/>
    <n v="3"/>
    <n v="3"/>
    <x v="1"/>
    <s v="Fixed"/>
    <n v="0"/>
    <x v="40"/>
    <n v="4370"/>
    <n v="19"/>
    <n v="5"/>
    <n v="746"/>
    <n v="4"/>
    <n v="3"/>
  </r>
  <r>
    <n v="42"/>
    <s v="Rose"/>
    <n v="1"/>
    <x v="0"/>
    <n v="1"/>
    <s v="GARAGE"/>
    <n v="1"/>
    <n v="2"/>
    <x v="0"/>
    <s v="Adjustable"/>
    <n v="1"/>
    <x v="41"/>
    <n v="4200"/>
    <n v="27"/>
    <n v="9"/>
    <n v="741"/>
    <n v="4"/>
    <n v="3"/>
  </r>
  <r>
    <n v="43"/>
    <s v="Peterson"/>
    <n v="1"/>
    <x v="0"/>
    <n v="1"/>
    <s v="GARAGE"/>
    <n v="5"/>
    <n v="2"/>
    <x v="0"/>
    <s v="Fixed"/>
    <n v="0"/>
    <x v="42"/>
    <n v="5570"/>
    <n v="29"/>
    <n v="4"/>
    <n v="740"/>
    <n v="5"/>
    <n v="3.5"/>
  </r>
  <r>
    <n v="44"/>
    <s v="Rose"/>
    <n v="1"/>
    <x v="0"/>
    <n v="1"/>
    <s v="GARAGE"/>
    <n v="5"/>
    <n v="2"/>
    <x v="0"/>
    <s v="Adjustable"/>
    <n v="0"/>
    <x v="43"/>
    <n v="5050"/>
    <n v="19"/>
    <n v="10"/>
    <n v="739"/>
    <n v="6"/>
    <n v="4"/>
  </r>
  <r>
    <n v="45"/>
    <s v="Marty"/>
    <n v="0"/>
    <x v="1"/>
    <n v="0"/>
    <s v="NO GARAGE"/>
    <n v="3"/>
    <n v="2"/>
    <x v="0"/>
    <s v="Fixed"/>
    <n v="0"/>
    <x v="44"/>
    <n v="3360"/>
    <n v="32"/>
    <n v="6"/>
    <n v="737"/>
    <n v="3"/>
    <n v="2"/>
  </r>
  <r>
    <n v="46"/>
    <s v="Marty"/>
    <n v="1"/>
    <x v="0"/>
    <n v="0"/>
    <s v="NO GARAGE"/>
    <n v="1"/>
    <n v="3"/>
    <x v="1"/>
    <s v="Fixed"/>
    <n v="0"/>
    <x v="45"/>
    <n v="2270"/>
    <n v="28"/>
    <n v="10"/>
    <n v="737"/>
    <n v="3"/>
    <n v="2"/>
  </r>
  <r>
    <n v="47"/>
    <s v="Marty"/>
    <n v="1"/>
    <x v="0"/>
    <n v="0"/>
    <s v="NO GARAGE"/>
    <n v="4"/>
    <n v="1"/>
    <x v="2"/>
    <s v="Fixed"/>
    <n v="0"/>
    <x v="46"/>
    <n v="2830"/>
    <n v="30"/>
    <n v="8"/>
    <n v="736"/>
    <n v="3"/>
    <n v="2.5"/>
  </r>
  <r>
    <n v="48"/>
    <s v="Rose"/>
    <n v="0"/>
    <x v="1"/>
    <n v="1"/>
    <s v="GARAGE"/>
    <n v="4"/>
    <n v="2"/>
    <x v="0"/>
    <s v="Fixed"/>
    <n v="0"/>
    <x v="47"/>
    <n v="2770"/>
    <n v="23"/>
    <n v="6"/>
    <n v="736"/>
    <n v="3"/>
    <n v="2"/>
  </r>
  <r>
    <n v="49"/>
    <s v="Isaacs"/>
    <n v="0"/>
    <x v="1"/>
    <n v="1"/>
    <s v="GARAGE"/>
    <n v="5"/>
    <n v="3"/>
    <x v="1"/>
    <s v="Fixed"/>
    <n v="0"/>
    <x v="48"/>
    <n v="2870"/>
    <n v="27"/>
    <n v="13"/>
    <n v="735"/>
    <n v="4"/>
    <n v="3"/>
  </r>
  <r>
    <n v="50"/>
    <s v="Isaacs"/>
    <n v="1"/>
    <x v="0"/>
    <n v="1"/>
    <s v="GARAGE"/>
    <n v="5"/>
    <n v="2"/>
    <x v="0"/>
    <s v="Adjustable"/>
    <n v="0"/>
    <x v="49"/>
    <n v="5910"/>
    <n v="35"/>
    <n v="10"/>
    <n v="731"/>
    <n v="6"/>
    <n v="4"/>
  </r>
  <r>
    <n v="51"/>
    <s v="Isaacs"/>
    <n v="1"/>
    <x v="0"/>
    <n v="1"/>
    <s v="GARAGE"/>
    <n v="4"/>
    <n v="2"/>
    <x v="0"/>
    <s v="Fixed"/>
    <n v="0"/>
    <x v="50"/>
    <n v="6800"/>
    <n v="27"/>
    <n v="6"/>
    <n v="729"/>
    <n v="8"/>
    <n v="5.5"/>
  </r>
  <r>
    <n v="52"/>
    <s v="Isaacs"/>
    <n v="1"/>
    <x v="0"/>
    <n v="0"/>
    <s v="NO GARAGE"/>
    <n v="2"/>
    <n v="2"/>
    <x v="0"/>
    <s v="Fixed"/>
    <n v="0"/>
    <x v="51"/>
    <n v="1600"/>
    <n v="39"/>
    <n v="15"/>
    <n v="728"/>
    <n v="2"/>
    <n v="1.5"/>
  </r>
  <r>
    <n v="53"/>
    <s v="Peterson"/>
    <n v="1"/>
    <x v="0"/>
    <n v="1"/>
    <s v="GARAGE"/>
    <n v="4"/>
    <n v="2"/>
    <x v="0"/>
    <s v="Fixed"/>
    <n v="0"/>
    <x v="52"/>
    <n v="3970"/>
    <n v="30"/>
    <n v="17"/>
    <n v="726"/>
    <n v="4"/>
    <n v="3"/>
  </r>
  <r>
    <n v="54"/>
    <s v="Peterson"/>
    <n v="0"/>
    <x v="1"/>
    <n v="1"/>
    <s v="GARAGE"/>
    <n v="3"/>
    <n v="2"/>
    <x v="0"/>
    <s v="Fixed"/>
    <n v="0"/>
    <x v="53"/>
    <n v="3060"/>
    <n v="26"/>
    <n v="10"/>
    <n v="726"/>
    <n v="3"/>
    <n v="2"/>
  </r>
  <r>
    <n v="55"/>
    <s v="Rose"/>
    <n v="1"/>
    <x v="0"/>
    <n v="0"/>
    <s v="NO GARAGE"/>
    <n v="3"/>
    <n v="2"/>
    <x v="0"/>
    <s v="Fixed"/>
    <n v="0"/>
    <x v="54"/>
    <n v="1900"/>
    <n v="14"/>
    <n v="18"/>
    <n v="723"/>
    <n v="2"/>
    <n v="1.5"/>
  </r>
  <r>
    <n v="56"/>
    <s v="Carter"/>
    <n v="1"/>
    <x v="0"/>
    <n v="1"/>
    <s v="GARAGE"/>
    <n v="2"/>
    <n v="2"/>
    <x v="0"/>
    <s v="Fixed"/>
    <n v="0"/>
    <x v="55"/>
    <n v="2150"/>
    <n v="27"/>
    <n v="15"/>
    <n v="715"/>
    <n v="2"/>
    <n v="1.5"/>
  </r>
  <r>
    <n v="57"/>
    <s v="Isaacs"/>
    <n v="0"/>
    <x v="1"/>
    <n v="1"/>
    <s v="GARAGE"/>
    <n v="1"/>
    <n v="1"/>
    <x v="2"/>
    <s v="Fixed"/>
    <n v="0"/>
    <x v="56"/>
    <n v="7190"/>
    <n v="49"/>
    <n v="5"/>
    <n v="710"/>
    <n v="6"/>
    <n v="4"/>
  </r>
  <r>
    <n v="58"/>
    <s v="Carter"/>
    <n v="1"/>
    <x v="0"/>
    <n v="1"/>
    <s v="GARAGE"/>
    <n v="5"/>
    <n v="2"/>
    <x v="0"/>
    <s v="Fixed"/>
    <n v="0"/>
    <x v="57"/>
    <n v="3110"/>
    <n v="29"/>
    <n v="8"/>
    <n v="710"/>
    <n v="5"/>
    <n v="3.5"/>
  </r>
  <r>
    <n v="59"/>
    <s v="Carter"/>
    <n v="1"/>
    <x v="0"/>
    <n v="1"/>
    <s v="GARAGE"/>
    <n v="2"/>
    <n v="2"/>
    <x v="0"/>
    <s v="Fixed"/>
    <n v="0"/>
    <x v="58"/>
    <n v="3290"/>
    <n v="24"/>
    <n v="14"/>
    <n v="707"/>
    <n v="5"/>
    <n v="3.5"/>
  </r>
  <r>
    <n v="60"/>
    <s v="Rose"/>
    <n v="0"/>
    <x v="1"/>
    <n v="1"/>
    <s v="GARAGE"/>
    <n v="5"/>
    <n v="3"/>
    <x v="1"/>
    <s v="Fixed"/>
    <n v="0"/>
    <x v="59"/>
    <n v="2810"/>
    <n v="18"/>
    <n v="11"/>
    <n v="704"/>
    <n v="4"/>
    <n v="3"/>
  </r>
  <r>
    <n v="61"/>
    <s v="Peterson"/>
    <n v="1"/>
    <x v="0"/>
    <n v="1"/>
    <s v="GARAGE"/>
    <n v="4"/>
    <n v="2"/>
    <x v="0"/>
    <s v="Fixed"/>
    <n v="0"/>
    <x v="60"/>
    <n v="3830"/>
    <n v="27"/>
    <n v="10"/>
    <n v="703"/>
    <n v="4"/>
    <n v="2.5"/>
  </r>
  <r>
    <n v="62"/>
    <s v="Peterson"/>
    <n v="1"/>
    <x v="0"/>
    <n v="0"/>
    <s v="NO GARAGE"/>
    <n v="3"/>
    <n v="2"/>
    <x v="0"/>
    <s v="Fixed"/>
    <n v="0"/>
    <x v="61"/>
    <n v="1630"/>
    <n v="18"/>
    <n v="10"/>
    <n v="701"/>
    <n v="2"/>
    <n v="1.5"/>
  </r>
  <r>
    <n v="63"/>
    <s v="Isaacs"/>
    <n v="1"/>
    <x v="0"/>
    <n v="1"/>
    <s v="GARAGE"/>
    <n v="4"/>
    <n v="2"/>
    <x v="0"/>
    <s v="Adjustable"/>
    <n v="0"/>
    <x v="62"/>
    <n v="1850"/>
    <n v="30"/>
    <n v="2"/>
    <n v="675"/>
    <n v="2"/>
    <n v="1.5"/>
  </r>
  <r>
    <n v="64"/>
    <s v="Isaacs"/>
    <n v="0"/>
    <x v="1"/>
    <n v="0"/>
    <s v="NO GARAGE"/>
    <n v="4"/>
    <n v="1"/>
    <x v="2"/>
    <s v="Adjustable"/>
    <n v="1"/>
    <x v="63"/>
    <n v="2520"/>
    <n v="2"/>
    <n v="5"/>
    <n v="674"/>
    <n v="3"/>
    <n v="2.5"/>
  </r>
  <r>
    <n v="65"/>
    <s v="Marty"/>
    <n v="1"/>
    <x v="0"/>
    <n v="1"/>
    <s v="GARAGE"/>
    <n v="4"/>
    <n v="2"/>
    <x v="0"/>
    <s v="Adjustable"/>
    <n v="0"/>
    <x v="64"/>
    <n v="3220"/>
    <n v="22"/>
    <n v="2"/>
    <n v="673"/>
    <n v="4"/>
    <n v="3"/>
  </r>
  <r>
    <n v="66"/>
    <s v="Isaacs"/>
    <n v="0"/>
    <x v="1"/>
    <n v="0"/>
    <s v="NO GARAGE"/>
    <n v="1"/>
    <n v="2"/>
    <x v="0"/>
    <s v="Adjustable"/>
    <n v="0"/>
    <x v="65"/>
    <n v="3070"/>
    <n v="30"/>
    <n v="1"/>
    <n v="673"/>
    <n v="3"/>
    <n v="2"/>
  </r>
  <r>
    <n v="67"/>
    <s v="Peterson"/>
    <n v="1"/>
    <x v="0"/>
    <n v="1"/>
    <s v="GARAGE"/>
    <n v="1"/>
    <n v="3"/>
    <x v="1"/>
    <s v="Adjustable"/>
    <n v="0"/>
    <x v="66"/>
    <n v="2090"/>
    <n v="28"/>
    <n v="6"/>
    <n v="670"/>
    <n v="2"/>
    <n v="1.5"/>
  </r>
  <r>
    <n v="68"/>
    <s v="Marty"/>
    <n v="0"/>
    <x v="1"/>
    <n v="0"/>
    <s v="NO GARAGE"/>
    <n v="2"/>
    <n v="2"/>
    <x v="0"/>
    <s v="Adjustable"/>
    <n v="1"/>
    <x v="67"/>
    <n v="2090"/>
    <n v="30"/>
    <n v="8"/>
    <n v="669"/>
    <n v="3"/>
    <n v="2"/>
  </r>
  <r>
    <n v="69"/>
    <s v="Rose"/>
    <n v="1"/>
    <x v="0"/>
    <n v="1"/>
    <s v="GARAGE"/>
    <n v="2"/>
    <n v="3"/>
    <x v="1"/>
    <s v="Adjustable"/>
    <n v="0"/>
    <x v="68"/>
    <n v="2300"/>
    <n v="50"/>
    <n v="4"/>
    <n v="667"/>
    <n v="3"/>
    <n v="2.5"/>
  </r>
  <r>
    <n v="70"/>
    <s v="Isaacs"/>
    <n v="0"/>
    <x v="1"/>
    <n v="1"/>
    <s v="GARAGE"/>
    <n v="4"/>
    <n v="1"/>
    <x v="2"/>
    <s v="Adjustable"/>
    <n v="0"/>
    <x v="69"/>
    <n v="5760"/>
    <n v="42"/>
    <n v="3"/>
    <n v="665"/>
    <n v="5"/>
    <n v="3.5"/>
  </r>
  <r>
    <n v="71"/>
    <s v="Rose"/>
    <n v="1"/>
    <x v="0"/>
    <n v="1"/>
    <s v="GARAGE"/>
    <n v="3"/>
    <n v="2"/>
    <x v="0"/>
    <s v="Adjustable"/>
    <n v="1"/>
    <x v="70"/>
    <n v="6110"/>
    <n v="21"/>
    <n v="8"/>
    <n v="662"/>
    <n v="6"/>
    <n v="4"/>
  </r>
  <r>
    <n v="72"/>
    <s v="Peterson"/>
    <n v="0"/>
    <x v="1"/>
    <n v="1"/>
    <s v="GARAGE"/>
    <n v="1"/>
    <n v="2"/>
    <x v="0"/>
    <s v="Adjustable"/>
    <n v="0"/>
    <x v="71"/>
    <n v="4370"/>
    <n v="24"/>
    <n v="2"/>
    <n v="656"/>
    <n v="4"/>
    <n v="2.5"/>
  </r>
  <r>
    <n v="73"/>
    <s v="Rose"/>
    <n v="1"/>
    <x v="0"/>
    <n v="1"/>
    <s v="GARAGE"/>
    <n v="5"/>
    <n v="2"/>
    <x v="0"/>
    <s v="Adjustable"/>
    <n v="0"/>
    <x v="72"/>
    <n v="3160"/>
    <n v="22"/>
    <n v="3"/>
    <n v="653"/>
    <n v="5"/>
    <n v="3.5"/>
  </r>
  <r>
    <n v="74"/>
    <s v="Rose"/>
    <n v="1"/>
    <x v="0"/>
    <n v="1"/>
    <s v="GARAGE"/>
    <n v="3"/>
    <n v="2"/>
    <x v="0"/>
    <s v="Adjustable"/>
    <n v="1"/>
    <x v="73"/>
    <n v="6600"/>
    <n v="40"/>
    <n v="7"/>
    <n v="652"/>
    <n v="7"/>
    <n v="5"/>
  </r>
  <r>
    <n v="75"/>
    <s v="Marty"/>
    <n v="0"/>
    <x v="1"/>
    <n v="0"/>
    <s v="NO GARAGE"/>
    <n v="4"/>
    <n v="3"/>
    <x v="1"/>
    <s v="Adjustable"/>
    <n v="1"/>
    <x v="74"/>
    <n v="3300"/>
    <n v="14"/>
    <n v="7"/>
    <n v="647"/>
    <n v="3"/>
    <n v="2"/>
  </r>
  <r>
    <n v="76"/>
    <s v="Marty"/>
    <n v="1"/>
    <x v="0"/>
    <n v="1"/>
    <s v="GARAGE"/>
    <n v="3"/>
    <n v="2"/>
    <x v="0"/>
    <s v="Adjustable"/>
    <n v="1"/>
    <x v="75"/>
    <n v="2330"/>
    <n v="25"/>
    <n v="5"/>
    <n v="644"/>
    <n v="2"/>
    <n v="1.5"/>
  </r>
  <r>
    <n v="77"/>
    <s v="Carter"/>
    <n v="1"/>
    <x v="0"/>
    <n v="1"/>
    <s v="GARAGE"/>
    <n v="2"/>
    <n v="2"/>
    <x v="0"/>
    <s v="Adjustable"/>
    <n v="0"/>
    <x v="76"/>
    <n v="4230"/>
    <n v="32"/>
    <n v="2"/>
    <n v="642"/>
    <n v="4"/>
    <n v="3"/>
  </r>
  <r>
    <n v="78"/>
    <s v="Marty"/>
    <n v="1"/>
    <x v="0"/>
    <n v="0"/>
    <s v="NO GARAGE"/>
    <n v="2"/>
    <n v="2"/>
    <x v="0"/>
    <s v="Adjustable"/>
    <n v="0"/>
    <x v="77"/>
    <n v="2030"/>
    <n v="21"/>
    <n v="3"/>
    <n v="639"/>
    <n v="2"/>
    <n v="1.5"/>
  </r>
  <r>
    <n v="79"/>
    <s v="Marty"/>
    <n v="0"/>
    <x v="1"/>
    <n v="0"/>
    <s v="NO GARAGE"/>
    <n v="1"/>
    <n v="2"/>
    <x v="0"/>
    <s v="Adjustable"/>
    <n v="1"/>
    <x v="78"/>
    <n v="1690"/>
    <n v="20"/>
    <n v="7"/>
    <n v="639"/>
    <n v="2"/>
    <n v="1.5"/>
  </r>
  <r>
    <n v="80"/>
    <s v="Peterson"/>
    <n v="1"/>
    <x v="0"/>
    <n v="1"/>
    <s v="GARAGE"/>
    <n v="4"/>
    <n v="1"/>
    <x v="2"/>
    <s v="Adjustable"/>
    <n v="1"/>
    <x v="79"/>
    <n v="2040"/>
    <n v="31"/>
    <n v="6"/>
    <n v="631"/>
    <n v="2"/>
    <n v="1.5"/>
  </r>
  <r>
    <n v="81"/>
    <s v="Rose"/>
    <n v="1"/>
    <x v="0"/>
    <n v="1"/>
    <s v="GARAGE"/>
    <n v="3"/>
    <n v="2"/>
    <x v="0"/>
    <s v="Adjustable"/>
    <n v="1"/>
    <x v="80"/>
    <n v="4660"/>
    <n v="34"/>
    <n v="7"/>
    <n v="630"/>
    <n v="4"/>
    <n v="3"/>
  </r>
  <r>
    <n v="82"/>
    <s v="Marty"/>
    <n v="1"/>
    <x v="0"/>
    <n v="1"/>
    <s v="GARAGE"/>
    <n v="5"/>
    <n v="1"/>
    <x v="2"/>
    <s v="Adjustable"/>
    <n v="0"/>
    <x v="81"/>
    <n v="2860"/>
    <n v="48"/>
    <n v="3"/>
    <n v="626"/>
    <n v="3"/>
    <n v="2.5"/>
  </r>
  <r>
    <n v="83"/>
    <s v="Carter"/>
    <n v="0"/>
    <x v="1"/>
    <n v="1"/>
    <s v="GARAGE"/>
    <n v="2"/>
    <n v="2"/>
    <x v="0"/>
    <s v="Adjustable"/>
    <n v="1"/>
    <x v="82"/>
    <n v="3840"/>
    <n v="32"/>
    <n v="5"/>
    <n v="626"/>
    <n v="6"/>
    <n v="4.5"/>
  </r>
  <r>
    <n v="84"/>
    <s v="Carter"/>
    <n v="1"/>
    <x v="0"/>
    <n v="1"/>
    <s v="GARAGE"/>
    <n v="1"/>
    <n v="2"/>
    <x v="0"/>
    <s v="Adjustable"/>
    <n v="1"/>
    <x v="83"/>
    <n v="3180"/>
    <n v="40"/>
    <n v="6"/>
    <n v="624"/>
    <n v="3"/>
    <n v="2"/>
  </r>
  <r>
    <n v="85"/>
    <s v="Peterson"/>
    <n v="1"/>
    <x v="0"/>
    <n v="1"/>
    <s v="GARAGE"/>
    <n v="4"/>
    <n v="2"/>
    <x v="0"/>
    <s v="Adjustable"/>
    <n v="0"/>
    <x v="84"/>
    <n v="7670"/>
    <n v="30"/>
    <n v="1"/>
    <n v="623"/>
    <n v="8"/>
    <n v="5.5"/>
  </r>
  <r>
    <n v="86"/>
    <s v="Carter"/>
    <n v="1"/>
    <x v="0"/>
    <n v="0"/>
    <s v="NO GARAGE"/>
    <n v="2"/>
    <n v="2"/>
    <x v="0"/>
    <s v="Adjustable"/>
    <n v="1"/>
    <x v="85"/>
    <n v="3400"/>
    <n v="40"/>
    <n v="8"/>
    <n v="618"/>
    <n v="3"/>
    <n v="2"/>
  </r>
  <r>
    <n v="87"/>
    <s v="Carter"/>
    <n v="1"/>
    <x v="0"/>
    <n v="1"/>
    <s v="GARAGE"/>
    <n v="4"/>
    <n v="2"/>
    <x v="0"/>
    <s v="Adjustable"/>
    <n v="1"/>
    <x v="86"/>
    <n v="1840"/>
    <n v="36"/>
    <n v="3"/>
    <n v="618"/>
    <n v="2"/>
    <n v="1.5"/>
  </r>
  <r>
    <n v="88"/>
    <s v="Carter"/>
    <n v="0"/>
    <x v="1"/>
    <n v="1"/>
    <s v="GARAGE"/>
    <n v="1"/>
    <n v="2"/>
    <x v="0"/>
    <s v="Adjustable"/>
    <n v="0"/>
    <x v="87"/>
    <n v="4890"/>
    <n v="23"/>
    <n v="7"/>
    <n v="614"/>
    <n v="6"/>
    <n v="4"/>
  </r>
  <r>
    <n v="89"/>
    <s v="Rose"/>
    <n v="0"/>
    <x v="1"/>
    <n v="1"/>
    <s v="GARAGE"/>
    <n v="1"/>
    <n v="2"/>
    <x v="0"/>
    <s v="Adjustable"/>
    <n v="1"/>
    <x v="88"/>
    <n v="2390"/>
    <n v="23"/>
    <n v="6"/>
    <n v="614"/>
    <n v="3"/>
    <n v="2.5"/>
  </r>
  <r>
    <n v="90"/>
    <s v="Carter"/>
    <n v="1"/>
    <x v="0"/>
    <n v="1"/>
    <s v="GARAGE"/>
    <n v="3"/>
    <n v="2"/>
    <x v="0"/>
    <s v="Adjustable"/>
    <n v="0"/>
    <x v="89"/>
    <n v="6160"/>
    <n v="24"/>
    <n v="7"/>
    <n v="613"/>
    <n v="6"/>
    <n v="4"/>
  </r>
  <r>
    <n v="91"/>
    <s v="Marty"/>
    <n v="0"/>
    <x v="1"/>
    <n v="1"/>
    <s v="GARAGE"/>
    <n v="3"/>
    <n v="2"/>
    <x v="0"/>
    <s v="Adjustable"/>
    <n v="1"/>
    <x v="90"/>
    <n v="3440"/>
    <n v="38"/>
    <n v="3"/>
    <n v="609"/>
    <n v="4"/>
    <n v="2.5"/>
  </r>
  <r>
    <n v="92"/>
    <s v="Isaacs"/>
    <n v="1"/>
    <x v="0"/>
    <n v="0"/>
    <s v="NO GARAGE"/>
    <n v="5"/>
    <n v="3"/>
    <x v="1"/>
    <s v="Adjustable"/>
    <n v="0"/>
    <x v="91"/>
    <n v="2220"/>
    <n v="39"/>
    <n v="1"/>
    <n v="609"/>
    <n v="2"/>
    <n v="1.5"/>
  </r>
  <r>
    <n v="93"/>
    <s v="Carter"/>
    <n v="1"/>
    <x v="0"/>
    <n v="1"/>
    <s v="GARAGE"/>
    <n v="4"/>
    <n v="2"/>
    <x v="0"/>
    <s v="Adjustable"/>
    <n v="1"/>
    <x v="92"/>
    <n v="6530"/>
    <n v="53"/>
    <n v="3"/>
    <n v="605"/>
    <n v="7"/>
    <n v="5"/>
  </r>
  <r>
    <n v="94"/>
    <s v="Peterson"/>
    <n v="1"/>
    <x v="0"/>
    <n v="0"/>
    <s v="NO GARAGE"/>
    <n v="4"/>
    <n v="2"/>
    <x v="0"/>
    <s v="Adjustable"/>
    <n v="0"/>
    <x v="93"/>
    <n v="1930"/>
    <n v="58"/>
    <n v="1"/>
    <n v="604"/>
    <n v="2"/>
    <n v="1.5"/>
  </r>
  <r>
    <n v="95"/>
    <s v="Peterson"/>
    <n v="1"/>
    <x v="0"/>
    <n v="1"/>
    <s v="GARAGE"/>
    <n v="2"/>
    <n v="1"/>
    <x v="2"/>
    <s v="Adjustable"/>
    <n v="1"/>
    <x v="94"/>
    <n v="3510"/>
    <n v="27"/>
    <n v="6"/>
    <n v="601"/>
    <n v="3"/>
    <n v="2"/>
  </r>
  <r>
    <n v="96"/>
    <s v="Marty"/>
    <n v="0"/>
    <x v="1"/>
    <n v="1"/>
    <s v="GARAGE"/>
    <n v="2"/>
    <n v="2"/>
    <x v="0"/>
    <s v="Adjustable"/>
    <n v="1"/>
    <x v="95"/>
    <n v="3380"/>
    <n v="35"/>
    <n v="8"/>
    <n v="599"/>
    <n v="3"/>
    <n v="2"/>
  </r>
  <r>
    <n v="97"/>
    <s v="Peterson"/>
    <n v="1"/>
    <x v="0"/>
    <n v="1"/>
    <s v="GARAGE"/>
    <n v="4"/>
    <n v="2"/>
    <x v="0"/>
    <s v="Adjustable"/>
    <n v="1"/>
    <x v="96"/>
    <n v="7030"/>
    <n v="50"/>
    <n v="8"/>
    <n v="596"/>
    <n v="6"/>
    <n v="4"/>
  </r>
  <r>
    <n v="98"/>
    <s v="Marty"/>
    <n v="0"/>
    <x v="1"/>
    <n v="0"/>
    <s v="NO GARAGE"/>
    <n v="1"/>
    <n v="3"/>
    <x v="1"/>
    <s v="Adjustable"/>
    <n v="1"/>
    <x v="97"/>
    <n v="2850"/>
    <n v="28"/>
    <n v="6"/>
    <n v="595"/>
    <n v="3"/>
    <n v="2.5"/>
  </r>
  <r>
    <n v="99"/>
    <s v="Isaacs"/>
    <n v="1"/>
    <x v="0"/>
    <n v="1"/>
    <s v="GARAGE"/>
    <n v="4"/>
    <n v="2"/>
    <x v="0"/>
    <s v="Adjustable"/>
    <n v="0"/>
    <x v="98"/>
    <n v="3750"/>
    <n v="12"/>
    <n v="2"/>
    <n v="595"/>
    <n v="6"/>
    <n v="4"/>
  </r>
  <r>
    <n v="100"/>
    <s v="Carter"/>
    <n v="1"/>
    <x v="0"/>
    <n v="1"/>
    <s v="GARAGE"/>
    <n v="3"/>
    <n v="2"/>
    <x v="0"/>
    <s v="Adjustable"/>
    <n v="0"/>
    <x v="99"/>
    <n v="3060"/>
    <n v="27"/>
    <n v="3"/>
    <n v="593"/>
    <n v="3"/>
    <n v="2"/>
  </r>
  <r>
    <n v="101"/>
    <s v="Peterson"/>
    <n v="0"/>
    <x v="1"/>
    <n v="0"/>
    <s v="NO GARAGE"/>
    <n v="3"/>
    <n v="2"/>
    <x v="0"/>
    <s v="Adjustable"/>
    <n v="1"/>
    <x v="100"/>
    <n v="2110"/>
    <n v="37"/>
    <n v="6"/>
    <n v="591"/>
    <n v="2"/>
    <n v="1.5"/>
  </r>
  <r>
    <n v="102"/>
    <s v="Isaacs"/>
    <n v="1"/>
    <x v="0"/>
    <n v="0"/>
    <s v="NO GARAGE"/>
    <n v="5"/>
    <n v="2"/>
    <x v="0"/>
    <s v="Adjustable"/>
    <n v="1"/>
    <x v="101"/>
    <n v="2130"/>
    <n v="11"/>
    <n v="8"/>
    <n v="591"/>
    <n v="2"/>
    <n v="1.5"/>
  </r>
  <r>
    <n v="103"/>
    <s v="Marty"/>
    <n v="1"/>
    <x v="0"/>
    <n v="1"/>
    <s v="GARAGE"/>
    <n v="2"/>
    <n v="3"/>
    <x v="1"/>
    <s v="Adjustable"/>
    <n v="1"/>
    <x v="102"/>
    <n v="1650"/>
    <n v="30"/>
    <n v="7"/>
    <n v="590"/>
    <n v="2"/>
    <n v="1.5"/>
  </r>
  <r>
    <n v="104"/>
    <s v="Peterson"/>
    <n v="1"/>
    <x v="0"/>
    <n v="1"/>
    <s v="GARAGE"/>
    <n v="5"/>
    <n v="3"/>
    <x v="1"/>
    <s v="Adjustable"/>
    <n v="1"/>
    <x v="103"/>
    <n v="2740"/>
    <n v="27"/>
    <n v="3"/>
    <n v="584"/>
    <n v="4"/>
    <n v="3"/>
  </r>
  <r>
    <n v="105"/>
    <s v="Peterson"/>
    <n v="0"/>
    <x v="1"/>
    <n v="1"/>
    <s v="GARAGE"/>
    <n v="5"/>
    <n v="1"/>
    <x v="2"/>
    <s v="Adjustable"/>
    <n v="1"/>
    <x v="104"/>
    <n v="2240"/>
    <n v="34"/>
    <n v="8"/>
    <n v="583"/>
    <n v="2"/>
    <n v="1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A556A-3ACB-4D0A-84D1-EE6B233F2E65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5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3" showAll="0"/>
    <pivotField showAll="0"/>
    <pivotField showAll="0"/>
    <pivotField showAll="0"/>
    <pivotField showAll="0"/>
    <pivotField showAll="0"/>
  </pivotFields>
  <rowFields count="1">
    <field x="11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Record" fld="0" subtotal="count" baseField="11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185667-C280-49DD-8530-D4EC4067CC9D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numFmtId="1"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3"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cord" fld="0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CCD68-0000-41ED-A398-40A8C37A2E8C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6" firstHeaderRow="1" firstDataRow="1" firstDataCol="1"/>
  <pivotFields count="18"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3"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Record" fld="0" subtotal="count" baseField="3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6"/>
  <sheetViews>
    <sheetView zoomScale="70" zoomScaleNormal="70" zoomScalePageLayoutView="90" workbookViewId="0">
      <pane ySplit="1" topLeftCell="A2" activePane="bottomLeft" state="frozen"/>
      <selection pane="bottomLeft" activeCell="G15" sqref="G15"/>
    </sheetView>
  </sheetViews>
  <sheetFormatPr defaultColWidth="11.265625" defaultRowHeight="18" x14ac:dyDescent="0.5"/>
  <cols>
    <col min="1" max="1" width="5.86328125" style="12" customWidth="1"/>
    <col min="2" max="2" width="6.3984375" style="13" bestFit="1" customWidth="1"/>
    <col min="3" max="3" width="10.59765625" style="24" customWidth="1"/>
    <col min="4" max="4" width="5.6640625" style="27" customWidth="1"/>
    <col min="5" max="5" width="7.1328125" style="15" customWidth="1"/>
    <col min="6" max="6" width="4.59765625" style="15" customWidth="1"/>
    <col min="7" max="8" width="11.265625" style="13"/>
    <col min="9" max="9" width="4.86328125" style="14" customWidth="1"/>
    <col min="10" max="10" width="7.265625" style="13" customWidth="1"/>
    <col min="11" max="11" width="10.6640625" style="18" customWidth="1"/>
    <col min="12" max="12" width="11.265625" style="13"/>
    <col min="13" max="13" width="4.1328125" style="14" bestFit="1" customWidth="1"/>
    <col min="14" max="14" width="3.73046875" style="14" bestFit="1" customWidth="1"/>
    <col min="15" max="15" width="11.46484375" style="21" bestFit="1" customWidth="1"/>
    <col min="17" max="17" width="8.3984375" customWidth="1"/>
    <col min="18" max="18" width="7.3984375" customWidth="1"/>
    <col min="19" max="19" width="7.6640625" customWidth="1"/>
    <col min="20" max="20" width="8.3984375" customWidth="1"/>
    <col min="21" max="21" width="9.73046875" customWidth="1"/>
    <col min="22" max="22" width="9.06640625" customWidth="1"/>
    <col min="27" max="27" width="13.73046875" customWidth="1"/>
    <col min="28" max="28" width="15.1328125" bestFit="1" customWidth="1"/>
  </cols>
  <sheetData>
    <row r="1" spans="1:16" ht="18.5" thickBot="1" x14ac:dyDescent="0.55000000000000004">
      <c r="A1" s="3" t="s">
        <v>20</v>
      </c>
      <c r="B1" s="4" t="s">
        <v>0</v>
      </c>
      <c r="C1" s="22" t="s">
        <v>1</v>
      </c>
      <c r="D1" s="25" t="s">
        <v>2</v>
      </c>
      <c r="E1" s="6" t="s">
        <v>3</v>
      </c>
      <c r="F1" s="6" t="s">
        <v>4</v>
      </c>
      <c r="G1" s="4" t="s">
        <v>5</v>
      </c>
      <c r="H1" s="4" t="s">
        <v>6</v>
      </c>
      <c r="I1" s="5" t="s">
        <v>7</v>
      </c>
      <c r="J1" s="4" t="s">
        <v>8</v>
      </c>
      <c r="K1" s="16" t="s">
        <v>40</v>
      </c>
      <c r="L1" s="4" t="s">
        <v>9</v>
      </c>
      <c r="M1" s="5" t="s">
        <v>10</v>
      </c>
      <c r="N1" s="5" t="s">
        <v>11</v>
      </c>
      <c r="O1" s="19" t="s">
        <v>12</v>
      </c>
      <c r="P1" s="1"/>
    </row>
    <row r="2" spans="1:16" x14ac:dyDescent="0.5">
      <c r="A2" s="7">
        <v>1</v>
      </c>
      <c r="B2" s="8" t="s">
        <v>13</v>
      </c>
      <c r="C2" s="23">
        <v>206424</v>
      </c>
      <c r="D2" s="26">
        <v>1820</v>
      </c>
      <c r="E2" s="10">
        <v>2</v>
      </c>
      <c r="F2" s="10">
        <v>1.5</v>
      </c>
      <c r="G2" s="11">
        <v>1</v>
      </c>
      <c r="H2" s="11">
        <v>1</v>
      </c>
      <c r="I2" s="9">
        <v>33</v>
      </c>
      <c r="J2" s="11">
        <v>2</v>
      </c>
      <c r="K2" s="17">
        <v>2</v>
      </c>
      <c r="L2" s="11" t="s">
        <v>14</v>
      </c>
      <c r="M2" s="9">
        <v>2</v>
      </c>
      <c r="N2" s="9">
        <v>824</v>
      </c>
      <c r="O2" s="20">
        <v>0</v>
      </c>
    </row>
    <row r="3" spans="1:16" x14ac:dyDescent="0.5">
      <c r="A3" s="7">
        <v>2</v>
      </c>
      <c r="B3" s="8" t="s">
        <v>15</v>
      </c>
      <c r="C3" s="23">
        <v>346150</v>
      </c>
      <c r="D3" s="26">
        <v>3010</v>
      </c>
      <c r="E3" s="10">
        <v>3</v>
      </c>
      <c r="F3" s="10">
        <v>2</v>
      </c>
      <c r="G3" s="11">
        <v>0</v>
      </c>
      <c r="H3" s="11">
        <v>0</v>
      </c>
      <c r="I3" s="9">
        <v>36</v>
      </c>
      <c r="J3" s="11">
        <v>4</v>
      </c>
      <c r="K3" s="17">
        <v>2</v>
      </c>
      <c r="L3" s="11" t="s">
        <v>14</v>
      </c>
      <c r="M3" s="9">
        <v>9</v>
      </c>
      <c r="N3" s="9">
        <v>820</v>
      </c>
      <c r="O3" s="20">
        <v>0</v>
      </c>
    </row>
    <row r="4" spans="1:16" x14ac:dyDescent="0.5">
      <c r="A4" s="7">
        <v>3</v>
      </c>
      <c r="B4" s="8" t="s">
        <v>16</v>
      </c>
      <c r="C4" s="23">
        <v>372360</v>
      </c>
      <c r="D4" s="26">
        <v>3210</v>
      </c>
      <c r="E4" s="10">
        <v>4</v>
      </c>
      <c r="F4" s="10">
        <v>3</v>
      </c>
      <c r="G4" s="11">
        <v>0</v>
      </c>
      <c r="H4" s="11">
        <v>1</v>
      </c>
      <c r="I4" s="9">
        <v>21</v>
      </c>
      <c r="J4" s="11">
        <v>2</v>
      </c>
      <c r="K4" s="17">
        <v>2</v>
      </c>
      <c r="L4" s="11" t="s">
        <v>14</v>
      </c>
      <c r="M4" s="9">
        <v>18</v>
      </c>
      <c r="N4" s="9">
        <v>819</v>
      </c>
      <c r="O4" s="20">
        <v>0</v>
      </c>
    </row>
    <row r="5" spans="1:16" x14ac:dyDescent="0.5">
      <c r="A5" s="7">
        <v>4</v>
      </c>
      <c r="B5" s="8" t="s">
        <v>17</v>
      </c>
      <c r="C5" s="23">
        <v>310622</v>
      </c>
      <c r="D5" s="26">
        <v>3330</v>
      </c>
      <c r="E5" s="10">
        <v>3</v>
      </c>
      <c r="F5" s="10">
        <v>2.5</v>
      </c>
      <c r="G5" s="11">
        <v>1</v>
      </c>
      <c r="H5" s="11">
        <v>0</v>
      </c>
      <c r="I5" s="9">
        <v>26</v>
      </c>
      <c r="J5" s="11">
        <v>3</v>
      </c>
      <c r="K5" s="17">
        <v>3</v>
      </c>
      <c r="L5" s="11" t="s">
        <v>14</v>
      </c>
      <c r="M5" s="9">
        <v>17</v>
      </c>
      <c r="N5" s="9">
        <v>817</v>
      </c>
      <c r="O5" s="20">
        <v>0</v>
      </c>
    </row>
    <row r="6" spans="1:16" x14ac:dyDescent="0.5">
      <c r="A6" s="7">
        <v>5</v>
      </c>
      <c r="B6" s="8" t="s">
        <v>16</v>
      </c>
      <c r="C6" s="23">
        <v>496100</v>
      </c>
      <c r="D6" s="26">
        <v>4510</v>
      </c>
      <c r="E6" s="10">
        <v>6</v>
      </c>
      <c r="F6" s="10">
        <v>4.5</v>
      </c>
      <c r="G6" s="11">
        <v>0</v>
      </c>
      <c r="H6" s="11">
        <v>1</v>
      </c>
      <c r="I6" s="9">
        <v>13</v>
      </c>
      <c r="J6" s="11">
        <v>4</v>
      </c>
      <c r="K6" s="17">
        <v>1</v>
      </c>
      <c r="L6" s="11" t="s">
        <v>14</v>
      </c>
      <c r="M6" s="9">
        <v>17</v>
      </c>
      <c r="N6" s="9">
        <v>816</v>
      </c>
      <c r="O6" s="20">
        <v>0</v>
      </c>
    </row>
    <row r="7" spans="1:16" x14ac:dyDescent="0.5">
      <c r="A7" s="7">
        <v>6</v>
      </c>
      <c r="B7" s="8" t="s">
        <v>17</v>
      </c>
      <c r="C7" s="23">
        <v>294086</v>
      </c>
      <c r="D7" s="26">
        <v>3440</v>
      </c>
      <c r="E7" s="10">
        <v>4</v>
      </c>
      <c r="F7" s="10">
        <v>3</v>
      </c>
      <c r="G7" s="11">
        <v>1</v>
      </c>
      <c r="H7" s="11">
        <v>1</v>
      </c>
      <c r="I7" s="9">
        <v>31</v>
      </c>
      <c r="J7" s="11">
        <v>4</v>
      </c>
      <c r="K7" s="17">
        <v>2</v>
      </c>
      <c r="L7" s="11" t="s">
        <v>14</v>
      </c>
      <c r="M7" s="9">
        <v>19</v>
      </c>
      <c r="N7" s="9">
        <v>813</v>
      </c>
      <c r="O7" s="20">
        <v>0</v>
      </c>
    </row>
    <row r="8" spans="1:16" x14ac:dyDescent="0.5">
      <c r="A8" s="7">
        <v>7</v>
      </c>
      <c r="B8" s="8" t="s">
        <v>16</v>
      </c>
      <c r="C8" s="23">
        <v>228810</v>
      </c>
      <c r="D8" s="26">
        <v>2630</v>
      </c>
      <c r="E8" s="10">
        <v>4</v>
      </c>
      <c r="F8" s="10">
        <v>2.5</v>
      </c>
      <c r="G8" s="11">
        <v>0</v>
      </c>
      <c r="H8" s="11">
        <v>1</v>
      </c>
      <c r="I8" s="9">
        <v>39</v>
      </c>
      <c r="J8" s="11">
        <v>4</v>
      </c>
      <c r="K8" s="17">
        <v>1</v>
      </c>
      <c r="L8" s="11" t="s">
        <v>18</v>
      </c>
      <c r="M8" s="9">
        <v>10</v>
      </c>
      <c r="N8" s="9">
        <v>813</v>
      </c>
      <c r="O8" s="20">
        <v>0</v>
      </c>
    </row>
    <row r="9" spans="1:16" x14ac:dyDescent="0.5">
      <c r="A9" s="7">
        <v>8</v>
      </c>
      <c r="B9" s="8" t="s">
        <v>19</v>
      </c>
      <c r="C9" s="23">
        <v>384420</v>
      </c>
      <c r="D9" s="26">
        <v>4470</v>
      </c>
      <c r="E9" s="10">
        <v>5</v>
      </c>
      <c r="F9" s="10">
        <v>3.5</v>
      </c>
      <c r="G9" s="11">
        <v>0</v>
      </c>
      <c r="H9" s="11">
        <v>1</v>
      </c>
      <c r="I9" s="9">
        <v>26</v>
      </c>
      <c r="J9" s="11">
        <v>2</v>
      </c>
      <c r="K9" s="17">
        <v>3</v>
      </c>
      <c r="L9" s="11" t="s">
        <v>14</v>
      </c>
      <c r="M9" s="9">
        <v>6</v>
      </c>
      <c r="N9" s="9">
        <v>812</v>
      </c>
      <c r="O9" s="20">
        <v>0</v>
      </c>
    </row>
    <row r="10" spans="1:16" x14ac:dyDescent="0.5">
      <c r="A10" s="7">
        <v>9</v>
      </c>
      <c r="B10" s="8" t="s">
        <v>17</v>
      </c>
      <c r="C10" s="23">
        <v>416120</v>
      </c>
      <c r="D10" s="26">
        <v>4040</v>
      </c>
      <c r="E10" s="10">
        <v>5</v>
      </c>
      <c r="F10" s="10">
        <v>3.5</v>
      </c>
      <c r="G10" s="11">
        <v>0</v>
      </c>
      <c r="H10" s="11">
        <v>1</v>
      </c>
      <c r="I10" s="9">
        <v>26</v>
      </c>
      <c r="J10" s="11">
        <v>4</v>
      </c>
      <c r="K10" s="17">
        <v>3</v>
      </c>
      <c r="L10" s="11" t="s">
        <v>14</v>
      </c>
      <c r="M10" s="9">
        <v>3</v>
      </c>
      <c r="N10" s="9">
        <v>810</v>
      </c>
      <c r="O10" s="20">
        <v>0</v>
      </c>
    </row>
    <row r="11" spans="1:16" x14ac:dyDescent="0.5">
      <c r="A11" s="7">
        <v>10</v>
      </c>
      <c r="B11" s="8" t="s">
        <v>19</v>
      </c>
      <c r="C11" s="23">
        <v>487494</v>
      </c>
      <c r="D11" s="26">
        <v>4380</v>
      </c>
      <c r="E11" s="10">
        <v>6</v>
      </c>
      <c r="F11" s="10">
        <v>4</v>
      </c>
      <c r="G11" s="11">
        <v>1</v>
      </c>
      <c r="H11" s="11">
        <v>1</v>
      </c>
      <c r="I11" s="9">
        <v>32</v>
      </c>
      <c r="J11" s="11">
        <v>3</v>
      </c>
      <c r="K11" s="17">
        <v>2</v>
      </c>
      <c r="L11" s="11" t="s">
        <v>14</v>
      </c>
      <c r="M11" s="9">
        <v>6</v>
      </c>
      <c r="N11" s="9">
        <v>808</v>
      </c>
      <c r="O11" s="20">
        <v>0</v>
      </c>
    </row>
    <row r="12" spans="1:16" x14ac:dyDescent="0.5">
      <c r="A12" s="7">
        <v>11</v>
      </c>
      <c r="B12" s="8" t="s">
        <v>15</v>
      </c>
      <c r="C12" s="23">
        <v>448800</v>
      </c>
      <c r="D12" s="26">
        <v>5280</v>
      </c>
      <c r="E12" s="10">
        <v>6</v>
      </c>
      <c r="F12" s="10">
        <v>4</v>
      </c>
      <c r="G12" s="11">
        <v>0</v>
      </c>
      <c r="H12" s="11">
        <v>1</v>
      </c>
      <c r="I12" s="9">
        <v>35</v>
      </c>
      <c r="J12" s="11">
        <v>4</v>
      </c>
      <c r="K12" s="17">
        <v>2</v>
      </c>
      <c r="L12" s="11" t="s">
        <v>14</v>
      </c>
      <c r="M12" s="9">
        <v>8</v>
      </c>
      <c r="N12" s="9">
        <v>806</v>
      </c>
      <c r="O12" s="20">
        <v>1</v>
      </c>
    </row>
    <row r="13" spans="1:16" x14ac:dyDescent="0.5">
      <c r="A13" s="7">
        <v>12</v>
      </c>
      <c r="B13" s="8" t="s">
        <v>17</v>
      </c>
      <c r="C13" s="23">
        <v>388960</v>
      </c>
      <c r="D13" s="26">
        <v>4420</v>
      </c>
      <c r="E13" s="10">
        <v>4</v>
      </c>
      <c r="F13" s="10">
        <v>3</v>
      </c>
      <c r="G13" s="11">
        <v>0</v>
      </c>
      <c r="H13" s="11">
        <v>1</v>
      </c>
      <c r="I13" s="9">
        <v>50</v>
      </c>
      <c r="J13" s="11">
        <v>2</v>
      </c>
      <c r="K13" s="17">
        <v>2</v>
      </c>
      <c r="L13" s="11" t="s">
        <v>18</v>
      </c>
      <c r="M13" s="9">
        <v>9</v>
      </c>
      <c r="N13" s="9">
        <v>805</v>
      </c>
      <c r="O13" s="20">
        <v>1</v>
      </c>
    </row>
    <row r="14" spans="1:16" x14ac:dyDescent="0.5">
      <c r="A14" s="7">
        <v>13</v>
      </c>
      <c r="B14" s="11" t="s">
        <v>13</v>
      </c>
      <c r="C14" s="23">
        <v>335610</v>
      </c>
      <c r="D14" s="26">
        <v>2970</v>
      </c>
      <c r="E14" s="10">
        <v>3</v>
      </c>
      <c r="F14" s="10">
        <v>2.5</v>
      </c>
      <c r="G14" s="11">
        <v>0</v>
      </c>
      <c r="H14" s="11">
        <v>1</v>
      </c>
      <c r="I14" s="9">
        <v>25</v>
      </c>
      <c r="J14" s="11">
        <v>3</v>
      </c>
      <c r="K14" s="17">
        <v>2</v>
      </c>
      <c r="L14" s="11" t="s">
        <v>18</v>
      </c>
      <c r="M14" s="9">
        <v>9</v>
      </c>
      <c r="N14" s="9">
        <v>801</v>
      </c>
      <c r="O14" s="20">
        <v>1</v>
      </c>
    </row>
    <row r="15" spans="1:16" x14ac:dyDescent="0.5">
      <c r="A15" s="7">
        <v>14</v>
      </c>
      <c r="B15" s="8" t="s">
        <v>15</v>
      </c>
      <c r="C15" s="23">
        <v>276000</v>
      </c>
      <c r="D15" s="26">
        <v>2300</v>
      </c>
      <c r="E15" s="10">
        <v>2</v>
      </c>
      <c r="F15" s="10">
        <v>1.5</v>
      </c>
      <c r="G15" s="11">
        <v>0</v>
      </c>
      <c r="H15" s="11">
        <v>0</v>
      </c>
      <c r="I15" s="9">
        <v>34</v>
      </c>
      <c r="J15" s="11">
        <v>1</v>
      </c>
      <c r="K15" s="17">
        <v>2</v>
      </c>
      <c r="L15" s="11" t="s">
        <v>14</v>
      </c>
      <c r="M15" s="9">
        <v>20</v>
      </c>
      <c r="N15" s="9">
        <v>798</v>
      </c>
      <c r="O15" s="20">
        <v>0</v>
      </c>
    </row>
    <row r="16" spans="1:16" x14ac:dyDescent="0.5">
      <c r="A16" s="7">
        <v>15</v>
      </c>
      <c r="B16" s="8" t="s">
        <v>15</v>
      </c>
      <c r="C16" s="23">
        <v>346421</v>
      </c>
      <c r="D16" s="26">
        <v>2970</v>
      </c>
      <c r="E16" s="10">
        <v>4</v>
      </c>
      <c r="F16" s="10">
        <v>3</v>
      </c>
      <c r="G16" s="11">
        <v>1</v>
      </c>
      <c r="H16" s="11">
        <v>1</v>
      </c>
      <c r="I16" s="9">
        <v>17</v>
      </c>
      <c r="J16" s="11">
        <v>3</v>
      </c>
      <c r="K16" s="17">
        <v>2</v>
      </c>
      <c r="L16" s="11" t="s">
        <v>18</v>
      </c>
      <c r="M16" s="9">
        <v>10</v>
      </c>
      <c r="N16" s="9">
        <v>795</v>
      </c>
      <c r="O16" s="20">
        <v>0</v>
      </c>
    </row>
    <row r="17" spans="1:15" x14ac:dyDescent="0.5">
      <c r="A17" s="7">
        <v>16</v>
      </c>
      <c r="B17" s="11" t="s">
        <v>19</v>
      </c>
      <c r="C17" s="23">
        <v>453913</v>
      </c>
      <c r="D17" s="26">
        <v>3660</v>
      </c>
      <c r="E17" s="10">
        <v>6</v>
      </c>
      <c r="F17" s="10">
        <v>4</v>
      </c>
      <c r="G17" s="11">
        <v>1</v>
      </c>
      <c r="H17" s="11">
        <v>1</v>
      </c>
      <c r="I17" s="9">
        <v>12</v>
      </c>
      <c r="J17" s="11">
        <v>3</v>
      </c>
      <c r="K17" s="17">
        <v>2</v>
      </c>
      <c r="L17" s="11" t="s">
        <v>14</v>
      </c>
      <c r="M17" s="9">
        <v>18</v>
      </c>
      <c r="N17" s="9">
        <v>792</v>
      </c>
      <c r="O17" s="20">
        <v>0</v>
      </c>
    </row>
    <row r="18" spans="1:15" x14ac:dyDescent="0.5">
      <c r="A18" s="7">
        <v>17</v>
      </c>
      <c r="B18" s="8" t="s">
        <v>16</v>
      </c>
      <c r="C18" s="23">
        <v>376146</v>
      </c>
      <c r="D18" s="26">
        <v>3290</v>
      </c>
      <c r="E18" s="10">
        <v>5</v>
      </c>
      <c r="F18" s="10">
        <v>3.5</v>
      </c>
      <c r="G18" s="11">
        <v>1</v>
      </c>
      <c r="H18" s="11">
        <v>1</v>
      </c>
      <c r="I18" s="9">
        <v>28</v>
      </c>
      <c r="J18" s="11">
        <v>2</v>
      </c>
      <c r="K18" s="17">
        <v>1</v>
      </c>
      <c r="L18" s="11" t="s">
        <v>18</v>
      </c>
      <c r="M18" s="9">
        <v>9</v>
      </c>
      <c r="N18" s="9">
        <v>792</v>
      </c>
      <c r="O18" s="20">
        <v>1</v>
      </c>
    </row>
    <row r="19" spans="1:15" x14ac:dyDescent="0.5">
      <c r="A19" s="7">
        <v>18</v>
      </c>
      <c r="B19" s="8" t="s">
        <v>17</v>
      </c>
      <c r="C19" s="23">
        <v>694430</v>
      </c>
      <c r="D19" s="26">
        <v>5900</v>
      </c>
      <c r="E19" s="10">
        <v>5</v>
      </c>
      <c r="F19" s="10">
        <v>3.5</v>
      </c>
      <c r="G19" s="11">
        <v>1</v>
      </c>
      <c r="H19" s="11">
        <v>1</v>
      </c>
      <c r="I19" s="9">
        <v>36</v>
      </c>
      <c r="J19" s="11">
        <v>3</v>
      </c>
      <c r="K19" s="17">
        <v>2</v>
      </c>
      <c r="L19" s="11" t="s">
        <v>18</v>
      </c>
      <c r="M19" s="9">
        <v>10</v>
      </c>
      <c r="N19" s="9">
        <v>788</v>
      </c>
      <c r="O19" s="20">
        <v>0</v>
      </c>
    </row>
    <row r="20" spans="1:15" x14ac:dyDescent="0.5">
      <c r="A20" s="7">
        <v>19</v>
      </c>
      <c r="B20" s="8" t="s">
        <v>15</v>
      </c>
      <c r="C20" s="23">
        <v>251269</v>
      </c>
      <c r="D20" s="26">
        <v>2050</v>
      </c>
      <c r="E20" s="10">
        <v>3</v>
      </c>
      <c r="F20" s="10">
        <v>2</v>
      </c>
      <c r="G20" s="11">
        <v>1</v>
      </c>
      <c r="H20" s="11">
        <v>1</v>
      </c>
      <c r="I20" s="9">
        <v>38</v>
      </c>
      <c r="J20" s="11">
        <v>3</v>
      </c>
      <c r="K20" s="17">
        <v>3</v>
      </c>
      <c r="L20" s="11" t="s">
        <v>14</v>
      </c>
      <c r="M20" s="9">
        <v>16</v>
      </c>
      <c r="N20" s="9">
        <v>786</v>
      </c>
      <c r="O20" s="20">
        <v>0</v>
      </c>
    </row>
    <row r="21" spans="1:15" x14ac:dyDescent="0.5">
      <c r="A21" s="7">
        <v>20</v>
      </c>
      <c r="B21" s="8" t="s">
        <v>15</v>
      </c>
      <c r="C21" s="23">
        <v>547596</v>
      </c>
      <c r="D21" s="26">
        <v>4920</v>
      </c>
      <c r="E21" s="10">
        <v>6</v>
      </c>
      <c r="F21" s="10">
        <v>4.5</v>
      </c>
      <c r="G21" s="11">
        <v>1</v>
      </c>
      <c r="H21" s="11">
        <v>1</v>
      </c>
      <c r="I21" s="9">
        <v>37</v>
      </c>
      <c r="J21" s="11">
        <v>5</v>
      </c>
      <c r="K21" s="17">
        <v>2</v>
      </c>
      <c r="L21" s="11" t="s">
        <v>14</v>
      </c>
      <c r="M21" s="9">
        <v>2</v>
      </c>
      <c r="N21" s="9">
        <v>785</v>
      </c>
      <c r="O21" s="20">
        <v>0</v>
      </c>
    </row>
    <row r="22" spans="1:15" x14ac:dyDescent="0.5">
      <c r="A22" s="7">
        <v>21</v>
      </c>
      <c r="B22" s="8" t="s">
        <v>13</v>
      </c>
      <c r="C22" s="23">
        <v>214910</v>
      </c>
      <c r="D22" s="26">
        <v>1950</v>
      </c>
      <c r="E22" s="10">
        <v>2</v>
      </c>
      <c r="F22" s="10">
        <v>1.5</v>
      </c>
      <c r="G22" s="11">
        <v>1</v>
      </c>
      <c r="H22" s="11">
        <v>0</v>
      </c>
      <c r="I22" s="9">
        <v>20</v>
      </c>
      <c r="J22" s="11">
        <v>4</v>
      </c>
      <c r="K22" s="17">
        <v>2</v>
      </c>
      <c r="L22" s="11" t="s">
        <v>14</v>
      </c>
      <c r="M22" s="9">
        <v>6</v>
      </c>
      <c r="N22" s="9">
        <v>784</v>
      </c>
      <c r="O22" s="20">
        <v>0</v>
      </c>
    </row>
    <row r="23" spans="1:15" x14ac:dyDescent="0.5">
      <c r="A23" s="7">
        <v>22</v>
      </c>
      <c r="B23" s="8" t="s">
        <v>15</v>
      </c>
      <c r="C23" s="23">
        <v>188799</v>
      </c>
      <c r="D23" s="26">
        <v>1950</v>
      </c>
      <c r="E23" s="10">
        <v>2</v>
      </c>
      <c r="F23" s="10">
        <v>1.5</v>
      </c>
      <c r="G23" s="11">
        <v>1</v>
      </c>
      <c r="H23" s="11">
        <v>0</v>
      </c>
      <c r="I23" s="9">
        <v>52</v>
      </c>
      <c r="J23" s="11">
        <v>1</v>
      </c>
      <c r="K23" s="17">
        <v>2</v>
      </c>
      <c r="L23" s="11" t="s">
        <v>14</v>
      </c>
      <c r="M23" s="9">
        <v>10</v>
      </c>
      <c r="N23" s="9">
        <v>782</v>
      </c>
      <c r="O23" s="20">
        <v>0</v>
      </c>
    </row>
    <row r="24" spans="1:15" x14ac:dyDescent="0.5">
      <c r="A24" s="7">
        <v>23</v>
      </c>
      <c r="B24" s="8" t="s">
        <v>16</v>
      </c>
      <c r="C24" s="23">
        <v>459950</v>
      </c>
      <c r="D24" s="26">
        <v>4680</v>
      </c>
      <c r="E24" s="10">
        <v>4</v>
      </c>
      <c r="F24" s="10">
        <v>3</v>
      </c>
      <c r="G24" s="11">
        <v>1</v>
      </c>
      <c r="H24" s="11">
        <v>1</v>
      </c>
      <c r="I24" s="9">
        <v>31</v>
      </c>
      <c r="J24" s="11">
        <v>4</v>
      </c>
      <c r="K24" s="17">
        <v>3</v>
      </c>
      <c r="L24" s="11" t="s">
        <v>14</v>
      </c>
      <c r="M24" s="9">
        <v>8</v>
      </c>
      <c r="N24" s="9">
        <v>781</v>
      </c>
      <c r="O24" s="20">
        <v>0</v>
      </c>
    </row>
    <row r="25" spans="1:15" x14ac:dyDescent="0.5">
      <c r="A25" s="7">
        <v>24</v>
      </c>
      <c r="B25" s="8" t="s">
        <v>19</v>
      </c>
      <c r="C25" s="23">
        <v>264160</v>
      </c>
      <c r="D25" s="26">
        <v>2540</v>
      </c>
      <c r="E25" s="10">
        <v>3</v>
      </c>
      <c r="F25" s="10">
        <v>2.5</v>
      </c>
      <c r="G25" s="11">
        <v>0</v>
      </c>
      <c r="H25" s="11">
        <v>1</v>
      </c>
      <c r="I25" s="9">
        <v>40</v>
      </c>
      <c r="J25" s="11">
        <v>1</v>
      </c>
      <c r="K25" s="17">
        <v>2</v>
      </c>
      <c r="L25" s="11" t="s">
        <v>14</v>
      </c>
      <c r="M25" s="9">
        <v>18</v>
      </c>
      <c r="N25" s="9">
        <v>780</v>
      </c>
      <c r="O25" s="20">
        <v>0</v>
      </c>
    </row>
    <row r="26" spans="1:15" x14ac:dyDescent="0.5">
      <c r="A26" s="7">
        <v>25</v>
      </c>
      <c r="B26" s="8" t="s">
        <v>16</v>
      </c>
      <c r="C26" s="23">
        <v>393557</v>
      </c>
      <c r="D26" s="26">
        <v>3180</v>
      </c>
      <c r="E26" s="10">
        <v>4</v>
      </c>
      <c r="F26" s="10">
        <v>3</v>
      </c>
      <c r="G26" s="11">
        <v>1</v>
      </c>
      <c r="H26" s="11">
        <v>1</v>
      </c>
      <c r="I26" s="9">
        <v>54</v>
      </c>
      <c r="J26" s="11">
        <v>1</v>
      </c>
      <c r="K26" s="17">
        <v>3</v>
      </c>
      <c r="L26" s="11" t="s">
        <v>14</v>
      </c>
      <c r="M26" s="9">
        <v>20</v>
      </c>
      <c r="N26" s="9">
        <v>776</v>
      </c>
      <c r="O26" s="20">
        <v>0</v>
      </c>
    </row>
    <row r="27" spans="1:15" x14ac:dyDescent="0.5">
      <c r="A27" s="7">
        <v>26</v>
      </c>
      <c r="B27" s="11" t="s">
        <v>19</v>
      </c>
      <c r="C27" s="23">
        <v>478675</v>
      </c>
      <c r="D27" s="26">
        <v>4660</v>
      </c>
      <c r="E27" s="10">
        <v>5</v>
      </c>
      <c r="F27" s="10">
        <v>3.5</v>
      </c>
      <c r="G27" s="11">
        <v>1</v>
      </c>
      <c r="H27" s="11">
        <v>1</v>
      </c>
      <c r="I27" s="9">
        <v>26</v>
      </c>
      <c r="J27" s="11">
        <v>5</v>
      </c>
      <c r="K27" s="17">
        <v>2</v>
      </c>
      <c r="L27" s="11" t="s">
        <v>18</v>
      </c>
      <c r="M27" s="9">
        <v>9</v>
      </c>
      <c r="N27" s="9">
        <v>773</v>
      </c>
      <c r="O27" s="20">
        <v>0</v>
      </c>
    </row>
    <row r="28" spans="1:15" x14ac:dyDescent="0.5">
      <c r="A28" s="7">
        <v>27</v>
      </c>
      <c r="B28" s="8" t="s">
        <v>16</v>
      </c>
      <c r="C28" s="23">
        <v>384020</v>
      </c>
      <c r="D28" s="26">
        <v>4220</v>
      </c>
      <c r="E28" s="10">
        <v>5</v>
      </c>
      <c r="F28" s="10">
        <v>3.5</v>
      </c>
      <c r="G28" s="11">
        <v>0</v>
      </c>
      <c r="H28" s="11">
        <v>1</v>
      </c>
      <c r="I28" s="9">
        <v>23</v>
      </c>
      <c r="J28" s="11">
        <v>4</v>
      </c>
      <c r="K28" s="17">
        <v>2</v>
      </c>
      <c r="L28" s="11" t="s">
        <v>18</v>
      </c>
      <c r="M28" s="9">
        <v>9</v>
      </c>
      <c r="N28" s="9">
        <v>772</v>
      </c>
      <c r="O28" s="20">
        <v>1</v>
      </c>
    </row>
    <row r="29" spans="1:15" x14ac:dyDescent="0.5">
      <c r="A29" s="7">
        <v>28</v>
      </c>
      <c r="B29" s="8" t="s">
        <v>13</v>
      </c>
      <c r="C29" s="23">
        <v>313200</v>
      </c>
      <c r="D29" s="26">
        <v>3600</v>
      </c>
      <c r="E29" s="10">
        <v>4</v>
      </c>
      <c r="F29" s="10">
        <v>3</v>
      </c>
      <c r="G29" s="11">
        <v>0</v>
      </c>
      <c r="H29" s="11">
        <v>1</v>
      </c>
      <c r="I29" s="9">
        <v>31</v>
      </c>
      <c r="J29" s="11">
        <v>3</v>
      </c>
      <c r="K29" s="17">
        <v>1</v>
      </c>
      <c r="L29" s="11" t="s">
        <v>14</v>
      </c>
      <c r="M29" s="9">
        <v>19</v>
      </c>
      <c r="N29" s="9">
        <v>772</v>
      </c>
      <c r="O29" s="20">
        <v>0</v>
      </c>
    </row>
    <row r="30" spans="1:15" x14ac:dyDescent="0.5">
      <c r="A30" s="7">
        <v>29</v>
      </c>
      <c r="B30" s="8" t="s">
        <v>19</v>
      </c>
      <c r="C30" s="23">
        <v>274482</v>
      </c>
      <c r="D30" s="26">
        <v>2990</v>
      </c>
      <c r="E30" s="10">
        <v>3</v>
      </c>
      <c r="F30" s="10">
        <v>2</v>
      </c>
      <c r="G30" s="11">
        <v>1</v>
      </c>
      <c r="H30" s="11">
        <v>0</v>
      </c>
      <c r="I30" s="9">
        <v>37</v>
      </c>
      <c r="J30" s="11">
        <v>3</v>
      </c>
      <c r="K30" s="17">
        <v>1</v>
      </c>
      <c r="L30" s="11" t="s">
        <v>14</v>
      </c>
      <c r="M30" s="9">
        <v>5</v>
      </c>
      <c r="N30" s="9">
        <v>769</v>
      </c>
      <c r="O30" s="20">
        <v>0</v>
      </c>
    </row>
    <row r="31" spans="1:15" x14ac:dyDescent="0.5">
      <c r="A31" s="7">
        <v>30</v>
      </c>
      <c r="B31" s="8" t="s">
        <v>13</v>
      </c>
      <c r="C31" s="23">
        <v>167962</v>
      </c>
      <c r="D31" s="26">
        <v>1920</v>
      </c>
      <c r="E31" s="10">
        <v>2</v>
      </c>
      <c r="F31" s="10">
        <v>1.5</v>
      </c>
      <c r="G31" s="11">
        <v>1</v>
      </c>
      <c r="H31" s="11">
        <v>1</v>
      </c>
      <c r="I31" s="9">
        <v>31</v>
      </c>
      <c r="J31" s="11">
        <v>5</v>
      </c>
      <c r="K31" s="17">
        <v>2</v>
      </c>
      <c r="L31" s="11" t="s">
        <v>14</v>
      </c>
      <c r="M31" s="9">
        <v>6</v>
      </c>
      <c r="N31" s="9">
        <v>769</v>
      </c>
      <c r="O31" s="20">
        <v>0</v>
      </c>
    </row>
    <row r="32" spans="1:15" x14ac:dyDescent="0.5">
      <c r="A32" s="7">
        <v>31</v>
      </c>
      <c r="B32" s="11" t="s">
        <v>19</v>
      </c>
      <c r="C32" s="23">
        <v>175823</v>
      </c>
      <c r="D32" s="26">
        <v>1970</v>
      </c>
      <c r="E32" s="10">
        <v>2</v>
      </c>
      <c r="F32" s="10">
        <v>1.5</v>
      </c>
      <c r="G32" s="11">
        <v>1</v>
      </c>
      <c r="H32" s="11">
        <v>0</v>
      </c>
      <c r="I32" s="9">
        <v>28</v>
      </c>
      <c r="J32" s="11">
        <v>5</v>
      </c>
      <c r="K32" s="17">
        <v>2</v>
      </c>
      <c r="L32" s="11" t="s">
        <v>18</v>
      </c>
      <c r="M32" s="9">
        <v>9</v>
      </c>
      <c r="N32" s="9">
        <v>766</v>
      </c>
      <c r="O32" s="20">
        <v>1</v>
      </c>
    </row>
    <row r="33" spans="1:15" x14ac:dyDescent="0.5">
      <c r="A33" s="7">
        <v>32</v>
      </c>
      <c r="B33" s="8" t="s">
        <v>19</v>
      </c>
      <c r="C33" s="23">
        <v>226498</v>
      </c>
      <c r="D33" s="26">
        <v>2520</v>
      </c>
      <c r="E33" s="10">
        <v>4</v>
      </c>
      <c r="F33" s="10">
        <v>3</v>
      </c>
      <c r="G33" s="11">
        <v>1</v>
      </c>
      <c r="H33" s="11">
        <v>1</v>
      </c>
      <c r="I33" s="9">
        <v>28</v>
      </c>
      <c r="J33" s="11">
        <v>3</v>
      </c>
      <c r="K33" s="17">
        <v>2</v>
      </c>
      <c r="L33" s="11" t="s">
        <v>14</v>
      </c>
      <c r="M33" s="9">
        <v>8</v>
      </c>
      <c r="N33" s="9">
        <v>763</v>
      </c>
      <c r="O33" s="20">
        <v>1</v>
      </c>
    </row>
    <row r="34" spans="1:15" x14ac:dyDescent="0.5">
      <c r="A34" s="7">
        <v>33</v>
      </c>
      <c r="B34" s="8" t="s">
        <v>16</v>
      </c>
      <c r="C34" s="23">
        <v>316827</v>
      </c>
      <c r="D34" s="26">
        <v>3150</v>
      </c>
      <c r="E34" s="10">
        <v>4</v>
      </c>
      <c r="F34" s="10">
        <v>3</v>
      </c>
      <c r="G34" s="11">
        <v>1</v>
      </c>
      <c r="H34" s="11">
        <v>1</v>
      </c>
      <c r="I34" s="9">
        <v>22</v>
      </c>
      <c r="J34" s="11">
        <v>4</v>
      </c>
      <c r="K34" s="17">
        <v>2</v>
      </c>
      <c r="L34" s="11" t="s">
        <v>14</v>
      </c>
      <c r="M34" s="9">
        <v>2</v>
      </c>
      <c r="N34" s="9">
        <v>759</v>
      </c>
      <c r="O34" s="20">
        <v>1</v>
      </c>
    </row>
    <row r="35" spans="1:15" x14ac:dyDescent="0.5">
      <c r="A35" s="7">
        <v>34</v>
      </c>
      <c r="B35" s="8" t="s">
        <v>16</v>
      </c>
      <c r="C35" s="23">
        <v>189984</v>
      </c>
      <c r="D35" s="26">
        <v>1550</v>
      </c>
      <c r="E35" s="10">
        <v>2</v>
      </c>
      <c r="F35" s="10">
        <v>1.5</v>
      </c>
      <c r="G35" s="11">
        <v>1</v>
      </c>
      <c r="H35" s="11">
        <v>0</v>
      </c>
      <c r="I35" s="9">
        <v>22</v>
      </c>
      <c r="J35" s="11">
        <v>2</v>
      </c>
      <c r="K35" s="17">
        <v>2</v>
      </c>
      <c r="L35" s="11" t="s">
        <v>14</v>
      </c>
      <c r="M35" s="9">
        <v>17</v>
      </c>
      <c r="N35" s="9">
        <v>758</v>
      </c>
      <c r="O35" s="20">
        <v>0</v>
      </c>
    </row>
    <row r="36" spans="1:15" x14ac:dyDescent="0.5">
      <c r="A36" s="7">
        <v>35</v>
      </c>
      <c r="B36" s="11" t="s">
        <v>13</v>
      </c>
      <c r="C36" s="23">
        <v>366350</v>
      </c>
      <c r="D36" s="26">
        <v>3090</v>
      </c>
      <c r="E36" s="10">
        <v>3</v>
      </c>
      <c r="F36" s="10">
        <v>2</v>
      </c>
      <c r="G36" s="11">
        <v>1</v>
      </c>
      <c r="H36" s="11">
        <v>1</v>
      </c>
      <c r="I36" s="9">
        <v>23</v>
      </c>
      <c r="J36" s="11">
        <v>3</v>
      </c>
      <c r="K36" s="17">
        <v>3</v>
      </c>
      <c r="L36" s="11" t="s">
        <v>14</v>
      </c>
      <c r="M36" s="9">
        <v>5</v>
      </c>
      <c r="N36" s="9">
        <v>754</v>
      </c>
      <c r="O36" s="20">
        <v>1</v>
      </c>
    </row>
    <row r="37" spans="1:15" x14ac:dyDescent="0.5">
      <c r="A37" s="7">
        <v>36</v>
      </c>
      <c r="B37" s="11" t="s">
        <v>19</v>
      </c>
      <c r="C37" s="23">
        <v>416160</v>
      </c>
      <c r="D37" s="26">
        <v>4080</v>
      </c>
      <c r="E37" s="10">
        <v>4</v>
      </c>
      <c r="F37" s="10">
        <v>3</v>
      </c>
      <c r="G37" s="11">
        <v>0</v>
      </c>
      <c r="H37" s="11">
        <v>1</v>
      </c>
      <c r="I37" s="9">
        <v>25</v>
      </c>
      <c r="J37" s="11">
        <v>4</v>
      </c>
      <c r="K37" s="17">
        <v>2</v>
      </c>
      <c r="L37" s="11" t="s">
        <v>14</v>
      </c>
      <c r="M37" s="9">
        <v>12</v>
      </c>
      <c r="N37" s="9">
        <v>753</v>
      </c>
      <c r="O37" s="20">
        <v>0</v>
      </c>
    </row>
    <row r="38" spans="1:15" x14ac:dyDescent="0.5">
      <c r="A38" s="7">
        <v>37</v>
      </c>
      <c r="B38" s="11" t="s">
        <v>19</v>
      </c>
      <c r="C38" s="23">
        <v>308000</v>
      </c>
      <c r="D38" s="26">
        <v>3500</v>
      </c>
      <c r="E38" s="10">
        <v>4</v>
      </c>
      <c r="F38" s="10">
        <v>3</v>
      </c>
      <c r="G38" s="11">
        <v>0</v>
      </c>
      <c r="H38" s="11">
        <v>1</v>
      </c>
      <c r="I38" s="9">
        <v>37</v>
      </c>
      <c r="J38" s="11">
        <v>2</v>
      </c>
      <c r="K38" s="17">
        <v>2</v>
      </c>
      <c r="L38" s="11" t="s">
        <v>14</v>
      </c>
      <c r="M38" s="9">
        <v>18</v>
      </c>
      <c r="N38" s="9">
        <v>752</v>
      </c>
      <c r="O38" s="20">
        <v>0</v>
      </c>
    </row>
    <row r="39" spans="1:15" x14ac:dyDescent="0.5">
      <c r="A39" s="7">
        <v>38</v>
      </c>
      <c r="B39" s="8" t="s">
        <v>15</v>
      </c>
      <c r="C39" s="23">
        <v>294357</v>
      </c>
      <c r="D39" s="26">
        <v>2620</v>
      </c>
      <c r="E39" s="10">
        <v>4</v>
      </c>
      <c r="F39" s="10">
        <v>3</v>
      </c>
      <c r="G39" s="11">
        <v>1</v>
      </c>
      <c r="H39" s="11">
        <v>1</v>
      </c>
      <c r="I39" s="9">
        <v>15</v>
      </c>
      <c r="J39" s="11">
        <v>4</v>
      </c>
      <c r="K39" s="17">
        <v>3</v>
      </c>
      <c r="L39" s="11" t="s">
        <v>14</v>
      </c>
      <c r="M39" s="9">
        <v>10</v>
      </c>
      <c r="N39" s="9">
        <v>751</v>
      </c>
      <c r="O39" s="20">
        <v>0</v>
      </c>
    </row>
    <row r="40" spans="1:15" x14ac:dyDescent="0.5">
      <c r="A40" s="7">
        <v>39</v>
      </c>
      <c r="B40" s="8" t="s">
        <v>16</v>
      </c>
      <c r="C40" s="23">
        <v>337144</v>
      </c>
      <c r="D40" s="26">
        <v>2790</v>
      </c>
      <c r="E40" s="10">
        <v>4</v>
      </c>
      <c r="F40" s="10">
        <v>3</v>
      </c>
      <c r="G40" s="11">
        <v>1</v>
      </c>
      <c r="H40" s="11">
        <v>1</v>
      </c>
      <c r="I40" s="9">
        <v>19</v>
      </c>
      <c r="J40" s="11">
        <v>3</v>
      </c>
      <c r="K40" s="17">
        <v>2</v>
      </c>
      <c r="L40" s="11" t="s">
        <v>14</v>
      </c>
      <c r="M40" s="9">
        <v>15</v>
      </c>
      <c r="N40" s="9">
        <v>749</v>
      </c>
      <c r="O40" s="20">
        <v>0</v>
      </c>
    </row>
    <row r="41" spans="1:15" x14ac:dyDescent="0.5">
      <c r="A41" s="7">
        <v>40</v>
      </c>
      <c r="B41" s="8" t="s">
        <v>17</v>
      </c>
      <c r="C41" s="23">
        <v>299730</v>
      </c>
      <c r="D41" s="26">
        <v>2910</v>
      </c>
      <c r="E41" s="10">
        <v>3</v>
      </c>
      <c r="F41" s="10">
        <v>2</v>
      </c>
      <c r="G41" s="11">
        <v>0</v>
      </c>
      <c r="H41" s="11">
        <v>0</v>
      </c>
      <c r="I41" s="9">
        <v>31</v>
      </c>
      <c r="J41" s="11">
        <v>2</v>
      </c>
      <c r="K41" s="17">
        <v>2</v>
      </c>
      <c r="L41" s="11" t="s">
        <v>14</v>
      </c>
      <c r="M41" s="9">
        <v>13</v>
      </c>
      <c r="N41" s="9">
        <v>748</v>
      </c>
      <c r="O41" s="20">
        <v>0</v>
      </c>
    </row>
    <row r="42" spans="1:15" x14ac:dyDescent="0.5">
      <c r="A42" s="7">
        <v>41</v>
      </c>
      <c r="B42" s="8" t="s">
        <v>15</v>
      </c>
      <c r="C42" s="23">
        <v>445740</v>
      </c>
      <c r="D42" s="26">
        <v>4370</v>
      </c>
      <c r="E42" s="10">
        <v>4</v>
      </c>
      <c r="F42" s="10">
        <v>3</v>
      </c>
      <c r="G42" s="11">
        <v>0</v>
      </c>
      <c r="H42" s="11">
        <v>1</v>
      </c>
      <c r="I42" s="9">
        <v>19</v>
      </c>
      <c r="J42" s="11">
        <v>3</v>
      </c>
      <c r="K42" s="17">
        <v>3</v>
      </c>
      <c r="L42" s="11" t="s">
        <v>14</v>
      </c>
      <c r="M42" s="9">
        <v>5</v>
      </c>
      <c r="N42" s="9">
        <v>746</v>
      </c>
      <c r="O42" s="20">
        <v>0</v>
      </c>
    </row>
    <row r="43" spans="1:15" x14ac:dyDescent="0.5">
      <c r="A43" s="7">
        <v>42</v>
      </c>
      <c r="B43" s="8" t="s">
        <v>15</v>
      </c>
      <c r="C43" s="23">
        <v>410592</v>
      </c>
      <c r="D43" s="26">
        <v>4200</v>
      </c>
      <c r="E43" s="10">
        <v>4</v>
      </c>
      <c r="F43" s="10">
        <v>3</v>
      </c>
      <c r="G43" s="11">
        <v>1</v>
      </c>
      <c r="H43" s="11">
        <v>1</v>
      </c>
      <c r="I43" s="9">
        <v>27</v>
      </c>
      <c r="J43" s="11">
        <v>1</v>
      </c>
      <c r="K43" s="17">
        <v>2</v>
      </c>
      <c r="L43" s="11" t="s">
        <v>18</v>
      </c>
      <c r="M43" s="9">
        <v>9</v>
      </c>
      <c r="N43" s="9">
        <v>741</v>
      </c>
      <c r="O43" s="20">
        <v>1</v>
      </c>
    </row>
    <row r="44" spans="1:15" x14ac:dyDescent="0.5">
      <c r="A44" s="7">
        <v>43</v>
      </c>
      <c r="B44" s="8" t="s">
        <v>17</v>
      </c>
      <c r="C44" s="23">
        <v>667732</v>
      </c>
      <c r="D44" s="26">
        <v>5570</v>
      </c>
      <c r="E44" s="10">
        <v>5</v>
      </c>
      <c r="F44" s="10">
        <v>3.5</v>
      </c>
      <c r="G44" s="11">
        <v>1</v>
      </c>
      <c r="H44" s="11">
        <v>1</v>
      </c>
      <c r="I44" s="9">
        <v>29</v>
      </c>
      <c r="J44" s="11">
        <v>5</v>
      </c>
      <c r="K44" s="17">
        <v>2</v>
      </c>
      <c r="L44" s="11" t="s">
        <v>14</v>
      </c>
      <c r="M44" s="9">
        <v>4</v>
      </c>
      <c r="N44" s="9">
        <v>740</v>
      </c>
      <c r="O44" s="20">
        <v>0</v>
      </c>
    </row>
    <row r="45" spans="1:15" x14ac:dyDescent="0.5">
      <c r="A45" s="7">
        <v>44</v>
      </c>
      <c r="B45" s="8" t="s">
        <v>15</v>
      </c>
      <c r="C45" s="23">
        <v>523584</v>
      </c>
      <c r="D45" s="26">
        <v>5050</v>
      </c>
      <c r="E45" s="10">
        <v>6</v>
      </c>
      <c r="F45" s="10">
        <v>4</v>
      </c>
      <c r="G45" s="11">
        <v>1</v>
      </c>
      <c r="H45" s="11">
        <v>1</v>
      </c>
      <c r="I45" s="9">
        <v>19</v>
      </c>
      <c r="J45" s="11">
        <v>5</v>
      </c>
      <c r="K45" s="17">
        <v>2</v>
      </c>
      <c r="L45" s="11" t="s">
        <v>18</v>
      </c>
      <c r="M45" s="9">
        <v>10</v>
      </c>
      <c r="N45" s="9">
        <v>739</v>
      </c>
      <c r="O45" s="20">
        <v>0</v>
      </c>
    </row>
    <row r="46" spans="1:15" x14ac:dyDescent="0.5">
      <c r="A46" s="7">
        <v>45</v>
      </c>
      <c r="B46" s="11" t="s">
        <v>13</v>
      </c>
      <c r="C46" s="23">
        <v>336000</v>
      </c>
      <c r="D46" s="26">
        <v>3360</v>
      </c>
      <c r="E46" s="10">
        <v>3</v>
      </c>
      <c r="F46" s="10">
        <v>2</v>
      </c>
      <c r="G46" s="11">
        <v>0</v>
      </c>
      <c r="H46" s="11">
        <v>0</v>
      </c>
      <c r="I46" s="9">
        <v>32</v>
      </c>
      <c r="J46" s="11">
        <v>3</v>
      </c>
      <c r="K46" s="17">
        <v>2</v>
      </c>
      <c r="L46" s="11" t="s">
        <v>14</v>
      </c>
      <c r="M46" s="9">
        <v>6</v>
      </c>
      <c r="N46" s="9">
        <v>737</v>
      </c>
      <c r="O46" s="20">
        <v>0</v>
      </c>
    </row>
    <row r="47" spans="1:15" x14ac:dyDescent="0.5">
      <c r="A47" s="7">
        <v>46</v>
      </c>
      <c r="B47" s="8" t="s">
        <v>13</v>
      </c>
      <c r="C47" s="23">
        <v>202598</v>
      </c>
      <c r="D47" s="26">
        <v>2270</v>
      </c>
      <c r="E47" s="10">
        <v>3</v>
      </c>
      <c r="F47" s="10">
        <v>2</v>
      </c>
      <c r="G47" s="11">
        <v>1</v>
      </c>
      <c r="H47" s="11">
        <v>0</v>
      </c>
      <c r="I47" s="9">
        <v>28</v>
      </c>
      <c r="J47" s="11">
        <v>1</v>
      </c>
      <c r="K47" s="17">
        <v>3</v>
      </c>
      <c r="L47" s="11" t="s">
        <v>14</v>
      </c>
      <c r="M47" s="9">
        <v>10</v>
      </c>
      <c r="N47" s="9">
        <v>737</v>
      </c>
      <c r="O47" s="20">
        <v>0</v>
      </c>
    </row>
    <row r="48" spans="1:15" x14ac:dyDescent="0.5">
      <c r="A48" s="7">
        <v>47</v>
      </c>
      <c r="B48" s="11" t="s">
        <v>13</v>
      </c>
      <c r="C48" s="23">
        <v>326695</v>
      </c>
      <c r="D48" s="26">
        <v>2830</v>
      </c>
      <c r="E48" s="10">
        <v>3</v>
      </c>
      <c r="F48" s="10">
        <v>2.5</v>
      </c>
      <c r="G48" s="11">
        <v>1</v>
      </c>
      <c r="H48" s="11">
        <v>0</v>
      </c>
      <c r="I48" s="9">
        <v>30</v>
      </c>
      <c r="J48" s="11">
        <v>4</v>
      </c>
      <c r="K48" s="17">
        <v>1</v>
      </c>
      <c r="L48" s="11" t="s">
        <v>14</v>
      </c>
      <c r="M48" s="9">
        <v>8</v>
      </c>
      <c r="N48" s="9">
        <v>736</v>
      </c>
      <c r="O48" s="20">
        <v>0</v>
      </c>
    </row>
    <row r="49" spans="1:15" x14ac:dyDescent="0.5">
      <c r="A49" s="7">
        <v>48</v>
      </c>
      <c r="B49" s="8" t="s">
        <v>15</v>
      </c>
      <c r="C49" s="23">
        <v>321320</v>
      </c>
      <c r="D49" s="26">
        <v>2770</v>
      </c>
      <c r="E49" s="10">
        <v>3</v>
      </c>
      <c r="F49" s="10">
        <v>2</v>
      </c>
      <c r="G49" s="11">
        <v>0</v>
      </c>
      <c r="H49" s="11">
        <v>1</v>
      </c>
      <c r="I49" s="9">
        <v>23</v>
      </c>
      <c r="J49" s="11">
        <v>4</v>
      </c>
      <c r="K49" s="17">
        <v>2</v>
      </c>
      <c r="L49" s="11" t="s">
        <v>14</v>
      </c>
      <c r="M49" s="9">
        <v>6</v>
      </c>
      <c r="N49" s="9">
        <v>736</v>
      </c>
      <c r="O49" s="20">
        <v>0</v>
      </c>
    </row>
    <row r="50" spans="1:15" x14ac:dyDescent="0.5">
      <c r="A50" s="7">
        <v>49</v>
      </c>
      <c r="B50" s="8" t="s">
        <v>19</v>
      </c>
      <c r="C50" s="23">
        <v>246820</v>
      </c>
      <c r="D50" s="26">
        <v>2870</v>
      </c>
      <c r="E50" s="10">
        <v>4</v>
      </c>
      <c r="F50" s="10">
        <v>3</v>
      </c>
      <c r="G50" s="11">
        <v>0</v>
      </c>
      <c r="H50" s="11">
        <v>1</v>
      </c>
      <c r="I50" s="9">
        <v>27</v>
      </c>
      <c r="J50" s="11">
        <v>5</v>
      </c>
      <c r="K50" s="17">
        <v>3</v>
      </c>
      <c r="L50" s="11" t="s">
        <v>14</v>
      </c>
      <c r="M50" s="9">
        <v>13</v>
      </c>
      <c r="N50" s="9">
        <v>735</v>
      </c>
      <c r="O50" s="20">
        <v>0</v>
      </c>
    </row>
    <row r="51" spans="1:15" x14ac:dyDescent="0.5">
      <c r="A51" s="7">
        <v>50</v>
      </c>
      <c r="B51" s="11" t="s">
        <v>19</v>
      </c>
      <c r="C51" s="23">
        <v>546084</v>
      </c>
      <c r="D51" s="26">
        <v>5910</v>
      </c>
      <c r="E51" s="10">
        <v>6</v>
      </c>
      <c r="F51" s="10">
        <v>4</v>
      </c>
      <c r="G51" s="11">
        <v>1</v>
      </c>
      <c r="H51" s="11">
        <v>1</v>
      </c>
      <c r="I51" s="9">
        <v>35</v>
      </c>
      <c r="J51" s="11">
        <v>5</v>
      </c>
      <c r="K51" s="17">
        <v>2</v>
      </c>
      <c r="L51" s="11" t="s">
        <v>18</v>
      </c>
      <c r="M51" s="9">
        <v>10</v>
      </c>
      <c r="N51" s="9">
        <v>731</v>
      </c>
      <c r="O51" s="20">
        <v>0</v>
      </c>
    </row>
    <row r="52" spans="1:15" x14ac:dyDescent="0.5">
      <c r="A52" s="7">
        <v>51</v>
      </c>
      <c r="B52" s="8" t="s">
        <v>19</v>
      </c>
      <c r="C52" s="23">
        <v>793084</v>
      </c>
      <c r="D52" s="26">
        <v>6800</v>
      </c>
      <c r="E52" s="10">
        <v>8</v>
      </c>
      <c r="F52" s="10">
        <v>5.5</v>
      </c>
      <c r="G52" s="11">
        <v>1</v>
      </c>
      <c r="H52" s="11">
        <v>1</v>
      </c>
      <c r="I52" s="9">
        <v>27</v>
      </c>
      <c r="J52" s="11">
        <v>4</v>
      </c>
      <c r="K52" s="17">
        <v>2</v>
      </c>
      <c r="L52" s="11" t="s">
        <v>14</v>
      </c>
      <c r="M52" s="9">
        <v>6</v>
      </c>
      <c r="N52" s="9">
        <v>729</v>
      </c>
      <c r="O52" s="20">
        <v>0</v>
      </c>
    </row>
    <row r="53" spans="1:15" x14ac:dyDescent="0.5">
      <c r="A53" s="7">
        <v>52</v>
      </c>
      <c r="B53" s="8" t="s">
        <v>19</v>
      </c>
      <c r="C53" s="23">
        <v>174528</v>
      </c>
      <c r="D53" s="26">
        <v>1600</v>
      </c>
      <c r="E53" s="10">
        <v>2</v>
      </c>
      <c r="F53" s="10">
        <v>1.5</v>
      </c>
      <c r="G53" s="11">
        <v>1</v>
      </c>
      <c r="H53" s="11">
        <v>0</v>
      </c>
      <c r="I53" s="9">
        <v>39</v>
      </c>
      <c r="J53" s="11">
        <v>2</v>
      </c>
      <c r="K53" s="17">
        <v>2</v>
      </c>
      <c r="L53" s="11" t="s">
        <v>14</v>
      </c>
      <c r="M53" s="9">
        <v>15</v>
      </c>
      <c r="N53" s="9">
        <v>728</v>
      </c>
      <c r="O53" s="20">
        <v>0</v>
      </c>
    </row>
    <row r="54" spans="1:15" x14ac:dyDescent="0.5">
      <c r="A54" s="7">
        <v>53</v>
      </c>
      <c r="B54" s="8" t="s">
        <v>17</v>
      </c>
      <c r="C54" s="23">
        <v>392554</v>
      </c>
      <c r="D54" s="26">
        <v>3970</v>
      </c>
      <c r="E54" s="10">
        <v>4</v>
      </c>
      <c r="F54" s="10">
        <v>3</v>
      </c>
      <c r="G54" s="11">
        <v>1</v>
      </c>
      <c r="H54" s="11">
        <v>1</v>
      </c>
      <c r="I54" s="9">
        <v>30</v>
      </c>
      <c r="J54" s="11">
        <v>4</v>
      </c>
      <c r="K54" s="17">
        <v>2</v>
      </c>
      <c r="L54" s="11" t="s">
        <v>14</v>
      </c>
      <c r="M54" s="9">
        <v>17</v>
      </c>
      <c r="N54" s="9">
        <v>726</v>
      </c>
      <c r="O54" s="20">
        <v>0</v>
      </c>
    </row>
    <row r="55" spans="1:15" x14ac:dyDescent="0.5">
      <c r="A55" s="7">
        <v>54</v>
      </c>
      <c r="B55" s="8" t="s">
        <v>17</v>
      </c>
      <c r="C55" s="23">
        <v>263160</v>
      </c>
      <c r="D55" s="26">
        <v>3060</v>
      </c>
      <c r="E55" s="10">
        <v>3</v>
      </c>
      <c r="F55" s="10">
        <v>2</v>
      </c>
      <c r="G55" s="11">
        <v>0</v>
      </c>
      <c r="H55" s="11">
        <v>1</v>
      </c>
      <c r="I55" s="9">
        <v>26</v>
      </c>
      <c r="J55" s="11">
        <v>3</v>
      </c>
      <c r="K55" s="17">
        <v>2</v>
      </c>
      <c r="L55" s="11" t="s">
        <v>14</v>
      </c>
      <c r="M55" s="9">
        <v>10</v>
      </c>
      <c r="N55" s="9">
        <v>726</v>
      </c>
      <c r="O55" s="20">
        <v>0</v>
      </c>
    </row>
    <row r="56" spans="1:15" x14ac:dyDescent="0.5">
      <c r="A56" s="7">
        <v>55</v>
      </c>
      <c r="B56" s="8" t="s">
        <v>15</v>
      </c>
      <c r="C56" s="23">
        <v>237120</v>
      </c>
      <c r="D56" s="26">
        <v>1900</v>
      </c>
      <c r="E56" s="10">
        <v>2</v>
      </c>
      <c r="F56" s="10">
        <v>1.5</v>
      </c>
      <c r="G56" s="11">
        <v>1</v>
      </c>
      <c r="H56" s="11">
        <v>0</v>
      </c>
      <c r="I56" s="9">
        <v>14</v>
      </c>
      <c r="J56" s="11">
        <v>3</v>
      </c>
      <c r="K56" s="17">
        <v>2</v>
      </c>
      <c r="L56" s="11" t="s">
        <v>14</v>
      </c>
      <c r="M56" s="9">
        <v>18</v>
      </c>
      <c r="N56" s="9">
        <v>723</v>
      </c>
      <c r="O56" s="20">
        <v>0</v>
      </c>
    </row>
    <row r="57" spans="1:15" x14ac:dyDescent="0.5">
      <c r="A57" s="7">
        <v>56</v>
      </c>
      <c r="B57" s="8" t="s">
        <v>16</v>
      </c>
      <c r="C57" s="23">
        <v>225750</v>
      </c>
      <c r="D57" s="26">
        <v>2150</v>
      </c>
      <c r="E57" s="10">
        <v>2</v>
      </c>
      <c r="F57" s="10">
        <v>1.5</v>
      </c>
      <c r="G57" s="11">
        <v>1</v>
      </c>
      <c r="H57" s="11">
        <v>1</v>
      </c>
      <c r="I57" s="9">
        <v>27</v>
      </c>
      <c r="J57" s="11">
        <v>2</v>
      </c>
      <c r="K57" s="17">
        <v>2</v>
      </c>
      <c r="L57" s="11" t="s">
        <v>14</v>
      </c>
      <c r="M57" s="9">
        <v>15</v>
      </c>
      <c r="N57" s="9">
        <v>715</v>
      </c>
      <c r="O57" s="20">
        <v>0</v>
      </c>
    </row>
    <row r="58" spans="1:15" x14ac:dyDescent="0.5">
      <c r="A58" s="7">
        <v>57</v>
      </c>
      <c r="B58" s="11" t="s">
        <v>19</v>
      </c>
      <c r="C58" s="23">
        <v>848420</v>
      </c>
      <c r="D58" s="26">
        <v>7190</v>
      </c>
      <c r="E58" s="10">
        <v>6</v>
      </c>
      <c r="F58" s="10">
        <v>4</v>
      </c>
      <c r="G58" s="11">
        <v>0</v>
      </c>
      <c r="H58" s="11">
        <v>1</v>
      </c>
      <c r="I58" s="9">
        <v>49</v>
      </c>
      <c r="J58" s="11">
        <v>1</v>
      </c>
      <c r="K58" s="17">
        <v>1</v>
      </c>
      <c r="L58" s="11" t="s">
        <v>14</v>
      </c>
      <c r="M58" s="9">
        <v>5</v>
      </c>
      <c r="N58" s="9">
        <v>710</v>
      </c>
      <c r="O58" s="20">
        <v>0</v>
      </c>
    </row>
    <row r="59" spans="1:15" x14ac:dyDescent="0.5">
      <c r="A59" s="7">
        <v>58</v>
      </c>
      <c r="B59" s="8" t="s">
        <v>16</v>
      </c>
      <c r="C59" s="23">
        <v>371956</v>
      </c>
      <c r="D59" s="26">
        <v>3110</v>
      </c>
      <c r="E59" s="10">
        <v>5</v>
      </c>
      <c r="F59" s="10">
        <v>3.5</v>
      </c>
      <c r="G59" s="11">
        <v>1</v>
      </c>
      <c r="H59" s="11">
        <v>1</v>
      </c>
      <c r="I59" s="9">
        <v>29</v>
      </c>
      <c r="J59" s="11">
        <v>5</v>
      </c>
      <c r="K59" s="17">
        <v>2</v>
      </c>
      <c r="L59" s="11" t="s">
        <v>14</v>
      </c>
      <c r="M59" s="9">
        <v>8</v>
      </c>
      <c r="N59" s="9">
        <v>710</v>
      </c>
      <c r="O59" s="20">
        <v>0</v>
      </c>
    </row>
    <row r="60" spans="1:15" x14ac:dyDescent="0.5">
      <c r="A60" s="7">
        <v>59</v>
      </c>
      <c r="B60" s="8" t="s">
        <v>16</v>
      </c>
      <c r="C60" s="23">
        <v>404538</v>
      </c>
      <c r="D60" s="26">
        <v>3290</v>
      </c>
      <c r="E60" s="10">
        <v>5</v>
      </c>
      <c r="F60" s="10">
        <v>3.5</v>
      </c>
      <c r="G60" s="11">
        <v>1</v>
      </c>
      <c r="H60" s="11">
        <v>1</v>
      </c>
      <c r="I60" s="9">
        <v>24</v>
      </c>
      <c r="J60" s="11">
        <v>2</v>
      </c>
      <c r="K60" s="17">
        <v>2</v>
      </c>
      <c r="L60" s="11" t="s">
        <v>14</v>
      </c>
      <c r="M60" s="9">
        <v>14</v>
      </c>
      <c r="N60" s="9">
        <v>707</v>
      </c>
      <c r="O60" s="20">
        <v>0</v>
      </c>
    </row>
    <row r="61" spans="1:15" x14ac:dyDescent="0.5">
      <c r="A61" s="7">
        <v>60</v>
      </c>
      <c r="B61" s="8" t="s">
        <v>15</v>
      </c>
      <c r="C61" s="23">
        <v>250090</v>
      </c>
      <c r="D61" s="26">
        <v>2810</v>
      </c>
      <c r="E61" s="10">
        <v>4</v>
      </c>
      <c r="F61" s="10">
        <v>3</v>
      </c>
      <c r="G61" s="11">
        <v>0</v>
      </c>
      <c r="H61" s="11">
        <v>1</v>
      </c>
      <c r="I61" s="9">
        <v>18</v>
      </c>
      <c r="J61" s="11">
        <v>5</v>
      </c>
      <c r="K61" s="17">
        <v>3</v>
      </c>
      <c r="L61" s="11" t="s">
        <v>14</v>
      </c>
      <c r="M61" s="9">
        <v>11</v>
      </c>
      <c r="N61" s="9">
        <v>704</v>
      </c>
      <c r="O61" s="20">
        <v>0</v>
      </c>
    </row>
    <row r="62" spans="1:15" x14ac:dyDescent="0.5">
      <c r="A62" s="7">
        <v>61</v>
      </c>
      <c r="B62" s="8" t="s">
        <v>17</v>
      </c>
      <c r="C62" s="23">
        <v>369978</v>
      </c>
      <c r="D62" s="26">
        <v>3830</v>
      </c>
      <c r="E62" s="10">
        <v>4</v>
      </c>
      <c r="F62" s="10">
        <v>2.5</v>
      </c>
      <c r="G62" s="11">
        <v>1</v>
      </c>
      <c r="H62" s="11">
        <v>1</v>
      </c>
      <c r="I62" s="9">
        <v>27</v>
      </c>
      <c r="J62" s="11">
        <v>4</v>
      </c>
      <c r="K62" s="17">
        <v>2</v>
      </c>
      <c r="L62" s="11" t="s">
        <v>14</v>
      </c>
      <c r="M62" s="9">
        <v>10</v>
      </c>
      <c r="N62" s="9">
        <v>703</v>
      </c>
      <c r="O62" s="20">
        <v>0</v>
      </c>
    </row>
    <row r="63" spans="1:15" x14ac:dyDescent="0.5">
      <c r="A63" s="7">
        <v>62</v>
      </c>
      <c r="B63" s="8" t="s">
        <v>17</v>
      </c>
      <c r="C63" s="23">
        <v>209292</v>
      </c>
      <c r="D63" s="26">
        <v>1630</v>
      </c>
      <c r="E63" s="10">
        <v>2</v>
      </c>
      <c r="F63" s="10">
        <v>1.5</v>
      </c>
      <c r="G63" s="11">
        <v>1</v>
      </c>
      <c r="H63" s="11">
        <v>0</v>
      </c>
      <c r="I63" s="9">
        <v>18</v>
      </c>
      <c r="J63" s="11">
        <v>3</v>
      </c>
      <c r="K63" s="17">
        <v>2</v>
      </c>
      <c r="L63" s="11" t="s">
        <v>14</v>
      </c>
      <c r="M63" s="9">
        <v>10</v>
      </c>
      <c r="N63" s="9">
        <v>701</v>
      </c>
      <c r="O63" s="20">
        <v>0</v>
      </c>
    </row>
    <row r="64" spans="1:15" x14ac:dyDescent="0.5">
      <c r="A64" s="7">
        <v>63</v>
      </c>
      <c r="B64" s="11" t="s">
        <v>19</v>
      </c>
      <c r="C64" s="23">
        <v>190032</v>
      </c>
      <c r="D64" s="26">
        <v>1850</v>
      </c>
      <c r="E64" s="10">
        <v>2</v>
      </c>
      <c r="F64" s="10">
        <v>1.5</v>
      </c>
      <c r="G64" s="11">
        <v>1</v>
      </c>
      <c r="H64" s="11">
        <v>1</v>
      </c>
      <c r="I64" s="9">
        <v>30</v>
      </c>
      <c r="J64" s="11">
        <v>4</v>
      </c>
      <c r="K64" s="17">
        <v>2</v>
      </c>
      <c r="L64" s="11" t="s">
        <v>18</v>
      </c>
      <c r="M64" s="9">
        <v>2</v>
      </c>
      <c r="N64" s="9">
        <v>675</v>
      </c>
      <c r="O64" s="20">
        <v>0</v>
      </c>
    </row>
    <row r="65" spans="1:15" x14ac:dyDescent="0.5">
      <c r="A65" s="7">
        <v>64</v>
      </c>
      <c r="B65" s="11" t="s">
        <v>19</v>
      </c>
      <c r="C65" s="23">
        <v>216720</v>
      </c>
      <c r="D65" s="26">
        <v>2520</v>
      </c>
      <c r="E65" s="10">
        <v>3</v>
      </c>
      <c r="F65" s="10">
        <v>2.5</v>
      </c>
      <c r="G65" s="11">
        <v>0</v>
      </c>
      <c r="H65" s="11">
        <v>0</v>
      </c>
      <c r="I65" s="9">
        <v>2</v>
      </c>
      <c r="J65" s="11">
        <v>4</v>
      </c>
      <c r="K65" s="17">
        <v>1</v>
      </c>
      <c r="L65" s="11" t="s">
        <v>18</v>
      </c>
      <c r="M65" s="9">
        <v>5</v>
      </c>
      <c r="N65" s="9">
        <v>674</v>
      </c>
      <c r="O65" s="20">
        <v>1</v>
      </c>
    </row>
    <row r="66" spans="1:15" x14ac:dyDescent="0.5">
      <c r="A66" s="7">
        <v>65</v>
      </c>
      <c r="B66" s="11" t="s">
        <v>13</v>
      </c>
      <c r="C66" s="23">
        <v>323417</v>
      </c>
      <c r="D66" s="26">
        <v>3220</v>
      </c>
      <c r="E66" s="10">
        <v>4</v>
      </c>
      <c r="F66" s="10">
        <v>3</v>
      </c>
      <c r="G66" s="11">
        <v>1</v>
      </c>
      <c r="H66" s="11">
        <v>1</v>
      </c>
      <c r="I66" s="9">
        <v>22</v>
      </c>
      <c r="J66" s="11">
        <v>4</v>
      </c>
      <c r="K66" s="17">
        <v>2</v>
      </c>
      <c r="L66" s="11" t="s">
        <v>18</v>
      </c>
      <c r="M66" s="9">
        <v>2</v>
      </c>
      <c r="N66" s="9">
        <v>673</v>
      </c>
      <c r="O66" s="20">
        <v>0</v>
      </c>
    </row>
    <row r="67" spans="1:15" x14ac:dyDescent="0.5">
      <c r="A67" s="7">
        <v>66</v>
      </c>
      <c r="B67" s="11" t="s">
        <v>19</v>
      </c>
      <c r="C67" s="23">
        <v>316210</v>
      </c>
      <c r="D67" s="26">
        <v>3070</v>
      </c>
      <c r="E67" s="10">
        <v>3</v>
      </c>
      <c r="F67" s="10">
        <v>2</v>
      </c>
      <c r="G67" s="11">
        <v>0</v>
      </c>
      <c r="H67" s="11">
        <v>0</v>
      </c>
      <c r="I67" s="9">
        <v>30</v>
      </c>
      <c r="J67" s="11">
        <v>1</v>
      </c>
      <c r="K67" s="17">
        <v>2</v>
      </c>
      <c r="L67" s="11" t="s">
        <v>18</v>
      </c>
      <c r="M67" s="9">
        <v>1</v>
      </c>
      <c r="N67" s="9">
        <v>673</v>
      </c>
      <c r="O67" s="20">
        <v>0</v>
      </c>
    </row>
    <row r="68" spans="1:15" x14ac:dyDescent="0.5">
      <c r="A68" s="7">
        <v>67</v>
      </c>
      <c r="B68" s="8" t="s">
        <v>17</v>
      </c>
      <c r="C68" s="23">
        <v>226054</v>
      </c>
      <c r="D68" s="26">
        <v>2090</v>
      </c>
      <c r="E68" s="10">
        <v>2</v>
      </c>
      <c r="F68" s="10">
        <v>1.5</v>
      </c>
      <c r="G68" s="11">
        <v>1</v>
      </c>
      <c r="H68" s="11">
        <v>1</v>
      </c>
      <c r="I68" s="9">
        <v>28</v>
      </c>
      <c r="J68" s="11">
        <v>1</v>
      </c>
      <c r="K68" s="17">
        <v>3</v>
      </c>
      <c r="L68" s="11" t="s">
        <v>18</v>
      </c>
      <c r="M68" s="9">
        <v>6</v>
      </c>
      <c r="N68" s="9">
        <v>670</v>
      </c>
      <c r="O68" s="20">
        <v>0</v>
      </c>
    </row>
    <row r="69" spans="1:15" x14ac:dyDescent="0.5">
      <c r="A69" s="7">
        <v>68</v>
      </c>
      <c r="B69" s="8" t="s">
        <v>13</v>
      </c>
      <c r="C69" s="23">
        <v>183920</v>
      </c>
      <c r="D69" s="26">
        <v>2090</v>
      </c>
      <c r="E69" s="10">
        <v>3</v>
      </c>
      <c r="F69" s="10">
        <v>2</v>
      </c>
      <c r="G69" s="11">
        <v>0</v>
      </c>
      <c r="H69" s="11">
        <v>0</v>
      </c>
      <c r="I69" s="9">
        <v>30</v>
      </c>
      <c r="J69" s="11">
        <v>2</v>
      </c>
      <c r="K69" s="17">
        <v>2</v>
      </c>
      <c r="L69" s="11" t="s">
        <v>18</v>
      </c>
      <c r="M69" s="9">
        <v>8</v>
      </c>
      <c r="N69" s="9">
        <v>669</v>
      </c>
      <c r="O69" s="20">
        <v>1</v>
      </c>
    </row>
    <row r="70" spans="1:15" x14ac:dyDescent="0.5">
      <c r="A70" s="7">
        <v>69</v>
      </c>
      <c r="B70" s="8" t="s">
        <v>15</v>
      </c>
      <c r="C70" s="23">
        <v>248400</v>
      </c>
      <c r="D70" s="26">
        <v>2300</v>
      </c>
      <c r="E70" s="10">
        <v>3</v>
      </c>
      <c r="F70" s="10">
        <v>2.5</v>
      </c>
      <c r="G70" s="11">
        <v>1</v>
      </c>
      <c r="H70" s="11">
        <v>1</v>
      </c>
      <c r="I70" s="9">
        <v>50</v>
      </c>
      <c r="J70" s="11">
        <v>2</v>
      </c>
      <c r="K70" s="17">
        <v>3</v>
      </c>
      <c r="L70" s="11" t="s">
        <v>18</v>
      </c>
      <c r="M70" s="9">
        <v>4</v>
      </c>
      <c r="N70" s="9">
        <v>667</v>
      </c>
      <c r="O70" s="20">
        <v>0</v>
      </c>
    </row>
    <row r="71" spans="1:15" x14ac:dyDescent="0.5">
      <c r="A71" s="7">
        <v>70</v>
      </c>
      <c r="B71" s="8" t="s">
        <v>19</v>
      </c>
      <c r="C71" s="23">
        <v>466560</v>
      </c>
      <c r="D71" s="26">
        <v>5760</v>
      </c>
      <c r="E71" s="10">
        <v>5</v>
      </c>
      <c r="F71" s="10">
        <v>3.5</v>
      </c>
      <c r="G71" s="11">
        <v>0</v>
      </c>
      <c r="H71" s="11">
        <v>1</v>
      </c>
      <c r="I71" s="9">
        <v>42</v>
      </c>
      <c r="J71" s="11">
        <v>4</v>
      </c>
      <c r="K71" s="17">
        <v>1</v>
      </c>
      <c r="L71" s="11" t="s">
        <v>18</v>
      </c>
      <c r="M71" s="9">
        <v>3</v>
      </c>
      <c r="N71" s="9">
        <v>665</v>
      </c>
      <c r="O71" s="20">
        <v>0</v>
      </c>
    </row>
    <row r="72" spans="1:15" x14ac:dyDescent="0.5">
      <c r="A72" s="7">
        <v>71</v>
      </c>
      <c r="B72" s="8" t="s">
        <v>15</v>
      </c>
      <c r="C72" s="23">
        <v>667212</v>
      </c>
      <c r="D72" s="26">
        <v>6110</v>
      </c>
      <c r="E72" s="10">
        <v>6</v>
      </c>
      <c r="F72" s="10">
        <v>4</v>
      </c>
      <c r="G72" s="11">
        <v>1</v>
      </c>
      <c r="H72" s="11">
        <v>1</v>
      </c>
      <c r="I72" s="9">
        <v>21</v>
      </c>
      <c r="J72" s="11">
        <v>3</v>
      </c>
      <c r="K72" s="17">
        <v>2</v>
      </c>
      <c r="L72" s="11" t="s">
        <v>18</v>
      </c>
      <c r="M72" s="9">
        <v>8</v>
      </c>
      <c r="N72" s="9">
        <v>662</v>
      </c>
      <c r="O72" s="20">
        <v>1</v>
      </c>
    </row>
    <row r="73" spans="1:15" x14ac:dyDescent="0.5">
      <c r="A73" s="7">
        <v>72</v>
      </c>
      <c r="B73" s="8" t="s">
        <v>17</v>
      </c>
      <c r="C73" s="23">
        <v>362710</v>
      </c>
      <c r="D73" s="26">
        <v>4370</v>
      </c>
      <c r="E73" s="10">
        <v>4</v>
      </c>
      <c r="F73" s="10">
        <v>2.5</v>
      </c>
      <c r="G73" s="11">
        <v>0</v>
      </c>
      <c r="H73" s="11">
        <v>1</v>
      </c>
      <c r="I73" s="9">
        <v>24</v>
      </c>
      <c r="J73" s="11">
        <v>1</v>
      </c>
      <c r="K73" s="17">
        <v>2</v>
      </c>
      <c r="L73" s="11" t="s">
        <v>18</v>
      </c>
      <c r="M73" s="9">
        <v>2</v>
      </c>
      <c r="N73" s="9">
        <v>656</v>
      </c>
      <c r="O73" s="20">
        <v>0</v>
      </c>
    </row>
    <row r="74" spans="1:15" x14ac:dyDescent="0.5">
      <c r="A74" s="7">
        <v>73</v>
      </c>
      <c r="B74" s="8" t="s">
        <v>15</v>
      </c>
      <c r="C74" s="23">
        <v>265440</v>
      </c>
      <c r="D74" s="26">
        <v>3160</v>
      </c>
      <c r="E74" s="10">
        <v>5</v>
      </c>
      <c r="F74" s="10">
        <v>3.5</v>
      </c>
      <c r="G74" s="11">
        <v>1</v>
      </c>
      <c r="H74" s="11">
        <v>1</v>
      </c>
      <c r="I74" s="9">
        <v>22</v>
      </c>
      <c r="J74" s="11">
        <v>5</v>
      </c>
      <c r="K74" s="17">
        <v>2</v>
      </c>
      <c r="L74" s="11" t="s">
        <v>18</v>
      </c>
      <c r="M74" s="9">
        <v>3</v>
      </c>
      <c r="N74" s="9">
        <v>653</v>
      </c>
      <c r="O74" s="20">
        <v>0</v>
      </c>
    </row>
    <row r="75" spans="1:15" x14ac:dyDescent="0.5">
      <c r="A75" s="7">
        <v>74</v>
      </c>
      <c r="B75" s="8" t="s">
        <v>15</v>
      </c>
      <c r="C75" s="23">
        <v>706596</v>
      </c>
      <c r="D75" s="26">
        <v>6600</v>
      </c>
      <c r="E75" s="10">
        <v>7</v>
      </c>
      <c r="F75" s="10">
        <v>5</v>
      </c>
      <c r="G75" s="11">
        <v>1</v>
      </c>
      <c r="H75" s="11">
        <v>1</v>
      </c>
      <c r="I75" s="9">
        <v>40</v>
      </c>
      <c r="J75" s="11">
        <v>3</v>
      </c>
      <c r="K75" s="17">
        <v>2</v>
      </c>
      <c r="L75" s="11" t="s">
        <v>18</v>
      </c>
      <c r="M75" s="9">
        <v>7</v>
      </c>
      <c r="N75" s="9">
        <v>652</v>
      </c>
      <c r="O75" s="20">
        <v>1</v>
      </c>
    </row>
    <row r="76" spans="1:15" x14ac:dyDescent="0.5">
      <c r="A76" s="7">
        <v>75</v>
      </c>
      <c r="B76" s="8" t="s">
        <v>13</v>
      </c>
      <c r="C76" s="23">
        <v>293700</v>
      </c>
      <c r="D76" s="26">
        <v>3300</v>
      </c>
      <c r="E76" s="10">
        <v>3</v>
      </c>
      <c r="F76" s="10">
        <v>2</v>
      </c>
      <c r="G76" s="11">
        <v>0</v>
      </c>
      <c r="H76" s="11">
        <v>0</v>
      </c>
      <c r="I76" s="9">
        <v>14</v>
      </c>
      <c r="J76" s="11">
        <v>4</v>
      </c>
      <c r="K76" s="17">
        <v>3</v>
      </c>
      <c r="L76" s="11" t="s">
        <v>18</v>
      </c>
      <c r="M76" s="9">
        <v>7</v>
      </c>
      <c r="N76" s="9">
        <v>647</v>
      </c>
      <c r="O76" s="20">
        <v>1</v>
      </c>
    </row>
    <row r="77" spans="1:15" x14ac:dyDescent="0.5">
      <c r="A77" s="7">
        <v>76</v>
      </c>
      <c r="B77" s="8" t="s">
        <v>13</v>
      </c>
      <c r="C77" s="23">
        <v>199448</v>
      </c>
      <c r="D77" s="26">
        <v>2330</v>
      </c>
      <c r="E77" s="10">
        <v>2</v>
      </c>
      <c r="F77" s="10">
        <v>1.5</v>
      </c>
      <c r="G77" s="11">
        <v>1</v>
      </c>
      <c r="H77" s="11">
        <v>1</v>
      </c>
      <c r="I77" s="9">
        <v>25</v>
      </c>
      <c r="J77" s="11">
        <v>3</v>
      </c>
      <c r="K77" s="17">
        <v>2</v>
      </c>
      <c r="L77" s="11" t="s">
        <v>18</v>
      </c>
      <c r="M77" s="9">
        <v>5</v>
      </c>
      <c r="N77" s="9">
        <v>644</v>
      </c>
      <c r="O77" s="20">
        <v>1</v>
      </c>
    </row>
    <row r="78" spans="1:15" x14ac:dyDescent="0.5">
      <c r="A78" s="7">
        <v>77</v>
      </c>
      <c r="B78" s="8" t="s">
        <v>16</v>
      </c>
      <c r="C78" s="23">
        <v>369533</v>
      </c>
      <c r="D78" s="26">
        <v>4230</v>
      </c>
      <c r="E78" s="10">
        <v>4</v>
      </c>
      <c r="F78" s="10">
        <v>3</v>
      </c>
      <c r="G78" s="11">
        <v>1</v>
      </c>
      <c r="H78" s="11">
        <v>1</v>
      </c>
      <c r="I78" s="9">
        <v>32</v>
      </c>
      <c r="J78" s="11">
        <v>2</v>
      </c>
      <c r="K78" s="17">
        <v>2</v>
      </c>
      <c r="L78" s="11" t="s">
        <v>18</v>
      </c>
      <c r="M78" s="9">
        <v>2</v>
      </c>
      <c r="N78" s="9">
        <v>642</v>
      </c>
      <c r="O78" s="20">
        <v>0</v>
      </c>
    </row>
    <row r="79" spans="1:15" x14ac:dyDescent="0.5">
      <c r="A79" s="7">
        <v>78</v>
      </c>
      <c r="B79" s="8" t="s">
        <v>13</v>
      </c>
      <c r="C79" s="23">
        <v>230121</v>
      </c>
      <c r="D79" s="26">
        <v>2030</v>
      </c>
      <c r="E79" s="10">
        <v>2</v>
      </c>
      <c r="F79" s="10">
        <v>1.5</v>
      </c>
      <c r="G79" s="11">
        <v>1</v>
      </c>
      <c r="H79" s="11">
        <v>0</v>
      </c>
      <c r="I79" s="9">
        <v>21</v>
      </c>
      <c r="J79" s="11">
        <v>2</v>
      </c>
      <c r="K79" s="17">
        <v>2</v>
      </c>
      <c r="L79" s="11" t="s">
        <v>18</v>
      </c>
      <c r="M79" s="9">
        <v>3</v>
      </c>
      <c r="N79" s="9">
        <v>639</v>
      </c>
      <c r="O79" s="20">
        <v>0</v>
      </c>
    </row>
    <row r="80" spans="1:15" x14ac:dyDescent="0.5">
      <c r="A80" s="7">
        <v>79</v>
      </c>
      <c r="B80" s="8" t="s">
        <v>13</v>
      </c>
      <c r="C80" s="23">
        <v>169000</v>
      </c>
      <c r="D80" s="26">
        <v>1690</v>
      </c>
      <c r="E80" s="10">
        <v>2</v>
      </c>
      <c r="F80" s="10">
        <v>1.5</v>
      </c>
      <c r="G80" s="11">
        <v>0</v>
      </c>
      <c r="H80" s="11">
        <v>0</v>
      </c>
      <c r="I80" s="9">
        <v>20</v>
      </c>
      <c r="J80" s="11">
        <v>1</v>
      </c>
      <c r="K80" s="17">
        <v>2</v>
      </c>
      <c r="L80" s="11" t="s">
        <v>18</v>
      </c>
      <c r="M80" s="9">
        <v>7</v>
      </c>
      <c r="N80" s="9">
        <v>639</v>
      </c>
      <c r="O80" s="20">
        <v>1</v>
      </c>
    </row>
    <row r="81" spans="1:15" x14ac:dyDescent="0.5">
      <c r="A81" s="7">
        <v>80</v>
      </c>
      <c r="B81" s="8" t="s">
        <v>17</v>
      </c>
      <c r="C81" s="23">
        <v>190291</v>
      </c>
      <c r="D81" s="26">
        <v>2040</v>
      </c>
      <c r="E81" s="10">
        <v>2</v>
      </c>
      <c r="F81" s="10">
        <v>1.5</v>
      </c>
      <c r="G81" s="11">
        <v>1</v>
      </c>
      <c r="H81" s="11">
        <v>1</v>
      </c>
      <c r="I81" s="9">
        <v>31</v>
      </c>
      <c r="J81" s="11">
        <v>4</v>
      </c>
      <c r="K81" s="17">
        <v>1</v>
      </c>
      <c r="L81" s="11" t="s">
        <v>18</v>
      </c>
      <c r="M81" s="9">
        <v>6</v>
      </c>
      <c r="N81" s="9">
        <v>631</v>
      </c>
      <c r="O81" s="20">
        <v>1</v>
      </c>
    </row>
    <row r="82" spans="1:15" x14ac:dyDescent="0.5">
      <c r="A82" s="7">
        <v>81</v>
      </c>
      <c r="B82" s="8" t="s">
        <v>15</v>
      </c>
      <c r="C82" s="23">
        <v>393584</v>
      </c>
      <c r="D82" s="26">
        <v>4660</v>
      </c>
      <c r="E82" s="10">
        <v>4</v>
      </c>
      <c r="F82" s="10">
        <v>3</v>
      </c>
      <c r="G82" s="11">
        <v>1</v>
      </c>
      <c r="H82" s="11">
        <v>1</v>
      </c>
      <c r="I82" s="9">
        <v>34</v>
      </c>
      <c r="J82" s="11">
        <v>3</v>
      </c>
      <c r="K82" s="17">
        <v>2</v>
      </c>
      <c r="L82" s="11" t="s">
        <v>18</v>
      </c>
      <c r="M82" s="9">
        <v>7</v>
      </c>
      <c r="N82" s="9">
        <v>630</v>
      </c>
      <c r="O82" s="20">
        <v>1</v>
      </c>
    </row>
    <row r="83" spans="1:15" x14ac:dyDescent="0.5">
      <c r="A83" s="7">
        <v>82</v>
      </c>
      <c r="B83" s="11" t="s">
        <v>13</v>
      </c>
      <c r="C83" s="23">
        <v>363792</v>
      </c>
      <c r="D83" s="26">
        <v>2860</v>
      </c>
      <c r="E83" s="10">
        <v>3</v>
      </c>
      <c r="F83" s="10">
        <v>2.5</v>
      </c>
      <c r="G83" s="11">
        <v>1</v>
      </c>
      <c r="H83" s="11">
        <v>1</v>
      </c>
      <c r="I83" s="9">
        <v>48</v>
      </c>
      <c r="J83" s="11">
        <v>5</v>
      </c>
      <c r="K83" s="17">
        <v>1</v>
      </c>
      <c r="L83" s="11" t="s">
        <v>18</v>
      </c>
      <c r="M83" s="9">
        <v>3</v>
      </c>
      <c r="N83" s="9">
        <v>626</v>
      </c>
      <c r="O83" s="20">
        <v>0</v>
      </c>
    </row>
    <row r="84" spans="1:15" x14ac:dyDescent="0.5">
      <c r="A84" s="7">
        <v>83</v>
      </c>
      <c r="B84" s="8" t="s">
        <v>16</v>
      </c>
      <c r="C84" s="23">
        <v>360960</v>
      </c>
      <c r="D84" s="26">
        <v>3840</v>
      </c>
      <c r="E84" s="10">
        <v>6</v>
      </c>
      <c r="F84" s="10">
        <v>4.5</v>
      </c>
      <c r="G84" s="11">
        <v>0</v>
      </c>
      <c r="H84" s="11">
        <v>1</v>
      </c>
      <c r="I84" s="9">
        <v>32</v>
      </c>
      <c r="J84" s="11">
        <v>2</v>
      </c>
      <c r="K84" s="17">
        <v>2</v>
      </c>
      <c r="L84" s="11" t="s">
        <v>18</v>
      </c>
      <c r="M84" s="9">
        <v>5</v>
      </c>
      <c r="N84" s="9">
        <v>626</v>
      </c>
      <c r="O84" s="20">
        <v>1</v>
      </c>
    </row>
    <row r="85" spans="1:15" x14ac:dyDescent="0.5">
      <c r="A85" s="7">
        <v>84</v>
      </c>
      <c r="B85" s="8" t="s">
        <v>16</v>
      </c>
      <c r="C85" s="23">
        <v>310877</v>
      </c>
      <c r="D85" s="26">
        <v>3180</v>
      </c>
      <c r="E85" s="10">
        <v>3</v>
      </c>
      <c r="F85" s="10">
        <v>2</v>
      </c>
      <c r="G85" s="11">
        <v>1</v>
      </c>
      <c r="H85" s="11">
        <v>1</v>
      </c>
      <c r="I85" s="9">
        <v>40</v>
      </c>
      <c r="J85" s="11">
        <v>1</v>
      </c>
      <c r="K85" s="17">
        <v>2</v>
      </c>
      <c r="L85" s="11" t="s">
        <v>18</v>
      </c>
      <c r="M85" s="9">
        <v>6</v>
      </c>
      <c r="N85" s="9">
        <v>624</v>
      </c>
      <c r="O85" s="20">
        <v>1</v>
      </c>
    </row>
    <row r="86" spans="1:15" x14ac:dyDescent="0.5">
      <c r="A86" s="7">
        <v>85</v>
      </c>
      <c r="B86" s="8" t="s">
        <v>17</v>
      </c>
      <c r="C86" s="23">
        <v>919480</v>
      </c>
      <c r="D86" s="26">
        <v>7670</v>
      </c>
      <c r="E86" s="10">
        <v>8</v>
      </c>
      <c r="F86" s="10">
        <v>5.5</v>
      </c>
      <c r="G86" s="11">
        <v>1</v>
      </c>
      <c r="H86" s="11">
        <v>1</v>
      </c>
      <c r="I86" s="9">
        <v>30</v>
      </c>
      <c r="J86" s="11">
        <v>4</v>
      </c>
      <c r="K86" s="17">
        <v>2</v>
      </c>
      <c r="L86" s="11" t="s">
        <v>18</v>
      </c>
      <c r="M86" s="9">
        <v>1</v>
      </c>
      <c r="N86" s="9">
        <v>623</v>
      </c>
      <c r="O86" s="20">
        <v>0</v>
      </c>
    </row>
    <row r="87" spans="1:15" x14ac:dyDescent="0.5">
      <c r="A87" s="7">
        <v>86</v>
      </c>
      <c r="B87" s="8" t="s">
        <v>16</v>
      </c>
      <c r="C87" s="23">
        <v>392904</v>
      </c>
      <c r="D87" s="26">
        <v>3400</v>
      </c>
      <c r="E87" s="10">
        <v>3</v>
      </c>
      <c r="F87" s="10">
        <v>2</v>
      </c>
      <c r="G87" s="11">
        <v>1</v>
      </c>
      <c r="H87" s="11">
        <v>0</v>
      </c>
      <c r="I87" s="9">
        <v>40</v>
      </c>
      <c r="J87" s="11">
        <v>2</v>
      </c>
      <c r="K87" s="17">
        <v>2</v>
      </c>
      <c r="L87" s="11" t="s">
        <v>18</v>
      </c>
      <c r="M87" s="9">
        <v>8</v>
      </c>
      <c r="N87" s="9">
        <v>618</v>
      </c>
      <c r="O87" s="20">
        <v>1</v>
      </c>
    </row>
    <row r="88" spans="1:15" x14ac:dyDescent="0.5">
      <c r="A88" s="7">
        <v>87</v>
      </c>
      <c r="B88" s="8" t="s">
        <v>16</v>
      </c>
      <c r="C88" s="23">
        <v>200928</v>
      </c>
      <c r="D88" s="26">
        <v>1840</v>
      </c>
      <c r="E88" s="10">
        <v>2</v>
      </c>
      <c r="F88" s="10">
        <v>1.5</v>
      </c>
      <c r="G88" s="11">
        <v>1</v>
      </c>
      <c r="H88" s="11">
        <v>1</v>
      </c>
      <c r="I88" s="9">
        <v>36</v>
      </c>
      <c r="J88" s="11">
        <v>4</v>
      </c>
      <c r="K88" s="17">
        <v>2</v>
      </c>
      <c r="L88" s="11" t="s">
        <v>18</v>
      </c>
      <c r="M88" s="9">
        <v>3</v>
      </c>
      <c r="N88" s="9">
        <v>618</v>
      </c>
      <c r="O88" s="20">
        <v>1</v>
      </c>
    </row>
    <row r="89" spans="1:15" x14ac:dyDescent="0.5">
      <c r="A89" s="7">
        <v>88</v>
      </c>
      <c r="B89" s="8" t="s">
        <v>16</v>
      </c>
      <c r="C89" s="23">
        <v>537900</v>
      </c>
      <c r="D89" s="26">
        <v>4890</v>
      </c>
      <c r="E89" s="10">
        <v>6</v>
      </c>
      <c r="F89" s="10">
        <v>4</v>
      </c>
      <c r="G89" s="11">
        <v>0</v>
      </c>
      <c r="H89" s="11">
        <v>1</v>
      </c>
      <c r="I89" s="9">
        <v>23</v>
      </c>
      <c r="J89" s="11">
        <v>1</v>
      </c>
      <c r="K89" s="17">
        <v>2</v>
      </c>
      <c r="L89" s="11" t="s">
        <v>18</v>
      </c>
      <c r="M89" s="9">
        <v>7</v>
      </c>
      <c r="N89" s="9">
        <v>614</v>
      </c>
      <c r="O89" s="20">
        <v>0</v>
      </c>
    </row>
    <row r="90" spans="1:15" x14ac:dyDescent="0.5">
      <c r="A90" s="7">
        <v>89</v>
      </c>
      <c r="B90" s="8" t="s">
        <v>15</v>
      </c>
      <c r="C90" s="23">
        <v>258120</v>
      </c>
      <c r="D90" s="26">
        <v>2390</v>
      </c>
      <c r="E90" s="10">
        <v>3</v>
      </c>
      <c r="F90" s="10">
        <v>2.5</v>
      </c>
      <c r="G90" s="11">
        <v>0</v>
      </c>
      <c r="H90" s="11">
        <v>1</v>
      </c>
      <c r="I90" s="9">
        <v>23</v>
      </c>
      <c r="J90" s="11">
        <v>1</v>
      </c>
      <c r="K90" s="17">
        <v>2</v>
      </c>
      <c r="L90" s="11" t="s">
        <v>18</v>
      </c>
      <c r="M90" s="9">
        <v>6</v>
      </c>
      <c r="N90" s="9">
        <v>614</v>
      </c>
      <c r="O90" s="20">
        <v>1</v>
      </c>
    </row>
    <row r="91" spans="1:15" x14ac:dyDescent="0.5">
      <c r="A91" s="7">
        <v>90</v>
      </c>
      <c r="B91" s="8" t="s">
        <v>16</v>
      </c>
      <c r="C91" s="23">
        <v>558342</v>
      </c>
      <c r="D91" s="26">
        <v>6160</v>
      </c>
      <c r="E91" s="10">
        <v>6</v>
      </c>
      <c r="F91" s="10">
        <v>4</v>
      </c>
      <c r="G91" s="11">
        <v>1</v>
      </c>
      <c r="H91" s="11">
        <v>1</v>
      </c>
      <c r="I91" s="9">
        <v>24</v>
      </c>
      <c r="J91" s="11">
        <v>3</v>
      </c>
      <c r="K91" s="17">
        <v>2</v>
      </c>
      <c r="L91" s="11" t="s">
        <v>18</v>
      </c>
      <c r="M91" s="9">
        <v>7</v>
      </c>
      <c r="N91" s="9">
        <v>613</v>
      </c>
      <c r="O91" s="20">
        <v>0</v>
      </c>
    </row>
    <row r="92" spans="1:15" x14ac:dyDescent="0.5">
      <c r="A92" s="7">
        <v>91</v>
      </c>
      <c r="B92" s="8" t="s">
        <v>13</v>
      </c>
      <c r="C92" s="23">
        <v>302720</v>
      </c>
      <c r="D92" s="26">
        <v>3440</v>
      </c>
      <c r="E92" s="10">
        <v>4</v>
      </c>
      <c r="F92" s="10">
        <v>2.5</v>
      </c>
      <c r="G92" s="11">
        <v>0</v>
      </c>
      <c r="H92" s="11">
        <v>1</v>
      </c>
      <c r="I92" s="9">
        <v>38</v>
      </c>
      <c r="J92" s="11">
        <v>3</v>
      </c>
      <c r="K92" s="17">
        <v>2</v>
      </c>
      <c r="L92" s="11" t="s">
        <v>18</v>
      </c>
      <c r="M92" s="9">
        <v>3</v>
      </c>
      <c r="N92" s="9">
        <v>609</v>
      </c>
      <c r="O92" s="20">
        <v>1</v>
      </c>
    </row>
    <row r="93" spans="1:15" x14ac:dyDescent="0.5">
      <c r="A93" s="7">
        <v>92</v>
      </c>
      <c r="B93" s="8" t="s">
        <v>19</v>
      </c>
      <c r="C93" s="23">
        <v>240115</v>
      </c>
      <c r="D93" s="26">
        <v>2220</v>
      </c>
      <c r="E93" s="10">
        <v>2</v>
      </c>
      <c r="F93" s="10">
        <v>1.5</v>
      </c>
      <c r="G93" s="11">
        <v>1</v>
      </c>
      <c r="H93" s="11">
        <v>0</v>
      </c>
      <c r="I93" s="9">
        <v>39</v>
      </c>
      <c r="J93" s="11">
        <v>5</v>
      </c>
      <c r="K93" s="17">
        <v>3</v>
      </c>
      <c r="L93" s="11" t="s">
        <v>18</v>
      </c>
      <c r="M93" s="9">
        <v>1</v>
      </c>
      <c r="N93" s="9">
        <v>609</v>
      </c>
      <c r="O93" s="20">
        <v>0</v>
      </c>
    </row>
    <row r="94" spans="1:15" x14ac:dyDescent="0.5">
      <c r="A94" s="7">
        <v>93</v>
      </c>
      <c r="B94" s="8" t="s">
        <v>16</v>
      </c>
      <c r="C94" s="23">
        <v>793656</v>
      </c>
      <c r="D94" s="26">
        <v>6530</v>
      </c>
      <c r="E94" s="10">
        <v>7</v>
      </c>
      <c r="F94" s="10">
        <v>5</v>
      </c>
      <c r="G94" s="11">
        <v>1</v>
      </c>
      <c r="H94" s="11">
        <v>1</v>
      </c>
      <c r="I94" s="9">
        <v>53</v>
      </c>
      <c r="J94" s="11">
        <v>4</v>
      </c>
      <c r="K94" s="17">
        <v>2</v>
      </c>
      <c r="L94" s="11" t="s">
        <v>18</v>
      </c>
      <c r="M94" s="9">
        <v>3</v>
      </c>
      <c r="N94" s="9">
        <v>605</v>
      </c>
      <c r="O94" s="20">
        <v>1</v>
      </c>
    </row>
    <row r="95" spans="1:15" x14ac:dyDescent="0.5">
      <c r="A95" s="7">
        <v>94</v>
      </c>
      <c r="B95" s="8" t="s">
        <v>17</v>
      </c>
      <c r="C95" s="23">
        <v>218862</v>
      </c>
      <c r="D95" s="26">
        <v>1930</v>
      </c>
      <c r="E95" s="10">
        <v>2</v>
      </c>
      <c r="F95" s="10">
        <v>1.5</v>
      </c>
      <c r="G95" s="11">
        <v>1</v>
      </c>
      <c r="H95" s="11">
        <v>0</v>
      </c>
      <c r="I95" s="9">
        <v>58</v>
      </c>
      <c r="J95" s="11">
        <v>4</v>
      </c>
      <c r="K95" s="17">
        <v>2</v>
      </c>
      <c r="L95" s="11" t="s">
        <v>18</v>
      </c>
      <c r="M95" s="9">
        <v>1</v>
      </c>
      <c r="N95" s="9">
        <v>604</v>
      </c>
      <c r="O95" s="20">
        <v>0</v>
      </c>
    </row>
    <row r="96" spans="1:15" x14ac:dyDescent="0.5">
      <c r="A96" s="7">
        <v>95</v>
      </c>
      <c r="B96" s="8" t="s">
        <v>17</v>
      </c>
      <c r="C96" s="23">
        <v>383081</v>
      </c>
      <c r="D96" s="26">
        <v>3510</v>
      </c>
      <c r="E96" s="10">
        <v>3</v>
      </c>
      <c r="F96" s="10">
        <v>2</v>
      </c>
      <c r="G96" s="11">
        <v>1</v>
      </c>
      <c r="H96" s="11">
        <v>1</v>
      </c>
      <c r="I96" s="9">
        <v>27</v>
      </c>
      <c r="J96" s="11">
        <v>2</v>
      </c>
      <c r="K96" s="17">
        <v>1</v>
      </c>
      <c r="L96" s="11" t="s">
        <v>18</v>
      </c>
      <c r="M96" s="9">
        <v>6</v>
      </c>
      <c r="N96" s="9">
        <v>601</v>
      </c>
      <c r="O96" s="20">
        <v>1</v>
      </c>
    </row>
    <row r="97" spans="1:15" x14ac:dyDescent="0.5">
      <c r="A97" s="7">
        <v>96</v>
      </c>
      <c r="B97" s="11" t="s">
        <v>13</v>
      </c>
      <c r="C97" s="23">
        <v>351520</v>
      </c>
      <c r="D97" s="26">
        <v>3380</v>
      </c>
      <c r="E97" s="10">
        <v>3</v>
      </c>
      <c r="F97" s="10">
        <v>2</v>
      </c>
      <c r="G97" s="11">
        <v>0</v>
      </c>
      <c r="H97" s="11">
        <v>1</v>
      </c>
      <c r="I97" s="9">
        <v>35</v>
      </c>
      <c r="J97" s="11">
        <v>2</v>
      </c>
      <c r="K97" s="17">
        <v>2</v>
      </c>
      <c r="L97" s="11" t="s">
        <v>18</v>
      </c>
      <c r="M97" s="9">
        <v>8</v>
      </c>
      <c r="N97" s="9">
        <v>599</v>
      </c>
      <c r="O97" s="20">
        <v>1</v>
      </c>
    </row>
    <row r="98" spans="1:15" x14ac:dyDescent="0.5">
      <c r="A98" s="7">
        <v>97</v>
      </c>
      <c r="B98" s="8" t="s">
        <v>17</v>
      </c>
      <c r="C98" s="23">
        <v>841491</v>
      </c>
      <c r="D98" s="26">
        <v>7030</v>
      </c>
      <c r="E98" s="10">
        <v>6</v>
      </c>
      <c r="F98" s="10">
        <v>4</v>
      </c>
      <c r="G98" s="11">
        <v>1</v>
      </c>
      <c r="H98" s="11">
        <v>1</v>
      </c>
      <c r="I98" s="9">
        <v>50</v>
      </c>
      <c r="J98" s="11">
        <v>4</v>
      </c>
      <c r="K98" s="17">
        <v>2</v>
      </c>
      <c r="L98" s="11" t="s">
        <v>18</v>
      </c>
      <c r="M98" s="9">
        <v>8</v>
      </c>
      <c r="N98" s="9">
        <v>596</v>
      </c>
      <c r="O98" s="20">
        <v>1</v>
      </c>
    </row>
    <row r="99" spans="1:15" x14ac:dyDescent="0.5">
      <c r="A99" s="7">
        <v>98</v>
      </c>
      <c r="B99" s="11" t="s">
        <v>13</v>
      </c>
      <c r="C99" s="23">
        <v>336300</v>
      </c>
      <c r="D99" s="26">
        <v>2850</v>
      </c>
      <c r="E99" s="10">
        <v>3</v>
      </c>
      <c r="F99" s="10">
        <v>2.5</v>
      </c>
      <c r="G99" s="11">
        <v>0</v>
      </c>
      <c r="H99" s="11">
        <v>0</v>
      </c>
      <c r="I99" s="9">
        <v>28</v>
      </c>
      <c r="J99" s="11">
        <v>1</v>
      </c>
      <c r="K99" s="17">
        <v>3</v>
      </c>
      <c r="L99" s="11" t="s">
        <v>18</v>
      </c>
      <c r="M99" s="9">
        <v>6</v>
      </c>
      <c r="N99" s="9">
        <v>595</v>
      </c>
      <c r="O99" s="20">
        <v>1</v>
      </c>
    </row>
    <row r="100" spans="1:15" x14ac:dyDescent="0.5">
      <c r="A100" s="7">
        <v>99</v>
      </c>
      <c r="B100" s="8" t="s">
        <v>19</v>
      </c>
      <c r="C100" s="23">
        <v>312863</v>
      </c>
      <c r="D100" s="26">
        <v>3750</v>
      </c>
      <c r="E100" s="10">
        <v>6</v>
      </c>
      <c r="F100" s="10">
        <v>4</v>
      </c>
      <c r="G100" s="11">
        <v>1</v>
      </c>
      <c r="H100" s="11">
        <v>1</v>
      </c>
      <c r="I100" s="9">
        <v>12</v>
      </c>
      <c r="J100" s="11">
        <v>4</v>
      </c>
      <c r="K100" s="17">
        <v>2</v>
      </c>
      <c r="L100" s="11" t="s">
        <v>18</v>
      </c>
      <c r="M100" s="9">
        <v>2</v>
      </c>
      <c r="N100" s="9">
        <v>595</v>
      </c>
      <c r="O100" s="20">
        <v>0</v>
      </c>
    </row>
    <row r="101" spans="1:15" x14ac:dyDescent="0.5">
      <c r="A101" s="7">
        <v>100</v>
      </c>
      <c r="B101" s="8" t="s">
        <v>16</v>
      </c>
      <c r="C101" s="23">
        <v>275033</v>
      </c>
      <c r="D101" s="26">
        <v>3060</v>
      </c>
      <c r="E101" s="10">
        <v>3</v>
      </c>
      <c r="F101" s="10">
        <v>2</v>
      </c>
      <c r="G101" s="11">
        <v>1</v>
      </c>
      <c r="H101" s="11">
        <v>1</v>
      </c>
      <c r="I101" s="9">
        <v>27</v>
      </c>
      <c r="J101" s="11">
        <v>3</v>
      </c>
      <c r="K101" s="17">
        <v>2</v>
      </c>
      <c r="L101" s="11" t="s">
        <v>18</v>
      </c>
      <c r="M101" s="9">
        <v>3</v>
      </c>
      <c r="N101" s="9">
        <v>593</v>
      </c>
      <c r="O101" s="20">
        <v>0</v>
      </c>
    </row>
    <row r="102" spans="1:15" x14ac:dyDescent="0.5">
      <c r="A102" s="7">
        <v>101</v>
      </c>
      <c r="B102" s="8" t="s">
        <v>17</v>
      </c>
      <c r="C102" s="23">
        <v>229990</v>
      </c>
      <c r="D102" s="26">
        <v>2110</v>
      </c>
      <c r="E102" s="10">
        <v>2</v>
      </c>
      <c r="F102" s="10">
        <v>1.5</v>
      </c>
      <c r="G102" s="11">
        <v>0</v>
      </c>
      <c r="H102" s="11">
        <v>0</v>
      </c>
      <c r="I102" s="9">
        <v>37</v>
      </c>
      <c r="J102" s="11">
        <v>3</v>
      </c>
      <c r="K102" s="17">
        <v>2</v>
      </c>
      <c r="L102" s="11" t="s">
        <v>18</v>
      </c>
      <c r="M102" s="9">
        <v>6</v>
      </c>
      <c r="N102" s="9">
        <v>591</v>
      </c>
      <c r="O102" s="20">
        <v>1</v>
      </c>
    </row>
    <row r="103" spans="1:15" x14ac:dyDescent="0.5">
      <c r="A103" s="7">
        <v>102</v>
      </c>
      <c r="B103" s="11" t="s">
        <v>19</v>
      </c>
      <c r="C103" s="23">
        <v>195257</v>
      </c>
      <c r="D103" s="26">
        <v>2130</v>
      </c>
      <c r="E103" s="10">
        <v>2</v>
      </c>
      <c r="F103" s="10">
        <v>1.5</v>
      </c>
      <c r="G103" s="11">
        <v>1</v>
      </c>
      <c r="H103" s="11">
        <v>0</v>
      </c>
      <c r="I103" s="9">
        <v>11</v>
      </c>
      <c r="J103" s="11">
        <v>5</v>
      </c>
      <c r="K103" s="17">
        <v>2</v>
      </c>
      <c r="L103" s="11" t="s">
        <v>18</v>
      </c>
      <c r="M103" s="9">
        <v>8</v>
      </c>
      <c r="N103" s="9">
        <v>591</v>
      </c>
      <c r="O103" s="20">
        <v>1</v>
      </c>
    </row>
    <row r="104" spans="1:15" x14ac:dyDescent="0.5">
      <c r="A104" s="7">
        <v>103</v>
      </c>
      <c r="B104" s="8" t="s">
        <v>13</v>
      </c>
      <c r="C104" s="23">
        <v>194238</v>
      </c>
      <c r="D104" s="26">
        <v>1650</v>
      </c>
      <c r="E104" s="10">
        <v>2</v>
      </c>
      <c r="F104" s="10">
        <v>1.5</v>
      </c>
      <c r="G104" s="11">
        <v>1</v>
      </c>
      <c r="H104" s="11">
        <v>1</v>
      </c>
      <c r="I104" s="9">
        <v>30</v>
      </c>
      <c r="J104" s="11">
        <v>2</v>
      </c>
      <c r="K104" s="17">
        <v>3</v>
      </c>
      <c r="L104" s="11" t="s">
        <v>18</v>
      </c>
      <c r="M104" s="9">
        <v>7</v>
      </c>
      <c r="N104" s="9">
        <v>590</v>
      </c>
      <c r="O104" s="20">
        <v>1</v>
      </c>
    </row>
    <row r="105" spans="1:15" x14ac:dyDescent="0.5">
      <c r="A105" s="7">
        <v>104</v>
      </c>
      <c r="B105" s="8" t="s">
        <v>17</v>
      </c>
      <c r="C105" s="23">
        <v>348528</v>
      </c>
      <c r="D105" s="26">
        <v>2740</v>
      </c>
      <c r="E105" s="10">
        <v>4</v>
      </c>
      <c r="F105" s="10">
        <v>3</v>
      </c>
      <c r="G105" s="11">
        <v>1</v>
      </c>
      <c r="H105" s="11">
        <v>1</v>
      </c>
      <c r="I105" s="9">
        <v>27</v>
      </c>
      <c r="J105" s="11">
        <v>5</v>
      </c>
      <c r="K105" s="17">
        <v>3</v>
      </c>
      <c r="L105" s="11" t="s">
        <v>18</v>
      </c>
      <c r="M105" s="9">
        <v>3</v>
      </c>
      <c r="N105" s="9">
        <v>584</v>
      </c>
      <c r="O105" s="20">
        <v>1</v>
      </c>
    </row>
    <row r="106" spans="1:15" x14ac:dyDescent="0.5">
      <c r="A106" s="7">
        <v>105</v>
      </c>
      <c r="B106" s="8" t="s">
        <v>17</v>
      </c>
      <c r="C106" s="23">
        <v>241920</v>
      </c>
      <c r="D106" s="26">
        <v>2240</v>
      </c>
      <c r="E106" s="10">
        <v>2</v>
      </c>
      <c r="F106" s="10">
        <v>1.5</v>
      </c>
      <c r="G106" s="11">
        <v>0</v>
      </c>
      <c r="H106" s="11">
        <v>1</v>
      </c>
      <c r="I106" s="9">
        <v>34</v>
      </c>
      <c r="J106" s="11">
        <v>5</v>
      </c>
      <c r="K106" s="17">
        <v>1</v>
      </c>
      <c r="L106" s="11" t="s">
        <v>18</v>
      </c>
      <c r="M106" s="9">
        <v>8</v>
      </c>
      <c r="N106" s="9">
        <v>583</v>
      </c>
      <c r="O106" s="20">
        <v>1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5DED-26A3-4B71-BF42-DCE418F829FD}">
  <dimension ref="A1:R106"/>
  <sheetViews>
    <sheetView topLeftCell="A10" zoomScale="60" zoomScaleNormal="60" workbookViewId="0">
      <selection activeCell="L10" sqref="L1:L1048576"/>
    </sheetView>
  </sheetViews>
  <sheetFormatPr defaultRowHeight="18" x14ac:dyDescent="0.5"/>
  <cols>
    <col min="1" max="1" width="5.86328125" style="12" customWidth="1"/>
    <col min="2" max="2" width="6.3984375" style="13" bestFit="1" customWidth="1"/>
    <col min="3" max="3" width="16.6640625" style="13" customWidth="1"/>
    <col min="4" max="4" width="16.6640625" style="11" customWidth="1"/>
    <col min="5" max="6" width="15.59765625" style="13" customWidth="1"/>
    <col min="7" max="7" width="7.265625" style="13" customWidth="1"/>
    <col min="8" max="8" width="10.6640625" style="18" customWidth="1"/>
    <col min="9" max="9" width="12.796875" style="18" customWidth="1"/>
    <col min="10" max="10" width="11.265625" style="13"/>
    <col min="11" max="11" width="16.3984375" style="13" customWidth="1"/>
    <col min="12" max="12" width="10.59765625" style="24" customWidth="1"/>
    <col min="13" max="13" width="5.6640625" style="27" customWidth="1"/>
    <col min="14" max="14" width="4.86328125" style="14" customWidth="1"/>
    <col min="15" max="15" width="4.1328125" style="14" bestFit="1" customWidth="1"/>
    <col min="16" max="16" width="3.73046875" style="14" bestFit="1" customWidth="1"/>
    <col min="17" max="17" width="7.1328125" style="15" customWidth="1"/>
    <col min="18" max="18" width="4.59765625" style="15" customWidth="1"/>
  </cols>
  <sheetData>
    <row r="1" spans="1:18" s="38" customFormat="1" ht="20" thickBot="1" x14ac:dyDescent="0.65">
      <c r="A1" s="29" t="s">
        <v>20</v>
      </c>
      <c r="B1" s="30" t="s">
        <v>0</v>
      </c>
      <c r="C1" s="30" t="s">
        <v>5</v>
      </c>
      <c r="D1" s="30" t="s">
        <v>41</v>
      </c>
      <c r="E1" s="30" t="s">
        <v>6</v>
      </c>
      <c r="F1" s="30" t="s">
        <v>42</v>
      </c>
      <c r="G1" s="30" t="s">
        <v>8</v>
      </c>
      <c r="H1" s="31" t="s">
        <v>40</v>
      </c>
      <c r="I1" s="39" t="s">
        <v>43</v>
      </c>
      <c r="J1" s="32" t="s">
        <v>9</v>
      </c>
      <c r="K1" s="30" t="s">
        <v>12</v>
      </c>
      <c r="L1" s="33" t="s">
        <v>1</v>
      </c>
      <c r="M1" s="34" t="s">
        <v>2</v>
      </c>
      <c r="N1" s="35" t="s">
        <v>7</v>
      </c>
      <c r="O1" s="35" t="s">
        <v>10</v>
      </c>
      <c r="P1" s="36" t="s">
        <v>11</v>
      </c>
      <c r="Q1" s="37" t="s">
        <v>3</v>
      </c>
      <c r="R1" s="37" t="s">
        <v>4</v>
      </c>
    </row>
    <row r="2" spans="1:18" x14ac:dyDescent="0.5">
      <c r="A2" s="7">
        <v>1</v>
      </c>
      <c r="B2" s="8" t="s">
        <v>13</v>
      </c>
      <c r="C2" s="11">
        <v>1</v>
      </c>
      <c r="D2" s="11" t="str">
        <f>IF(C2=1,"POOL","NO POOL")</f>
        <v>POOL</v>
      </c>
      <c r="E2" s="11">
        <v>1</v>
      </c>
      <c r="F2" s="11" t="str">
        <f>IF(E2=1,"GARAGE","NO GARAGE")</f>
        <v>GARAGE</v>
      </c>
      <c r="G2" s="11">
        <v>2</v>
      </c>
      <c r="H2" s="17">
        <v>2</v>
      </c>
      <c r="I2" s="17" t="str" cm="1">
        <f t="array" ref="I2">_xlfn.IFS(H2=1,"LOW",H2=2,"MEDIUM",H2=3,"HIGH")</f>
        <v>MEDIUM</v>
      </c>
      <c r="J2" s="11" t="s">
        <v>14</v>
      </c>
      <c r="K2" s="28">
        <v>0</v>
      </c>
      <c r="L2" s="23">
        <v>206424</v>
      </c>
      <c r="M2" s="26">
        <v>1820</v>
      </c>
      <c r="N2" s="9">
        <v>33</v>
      </c>
      <c r="O2" s="9">
        <v>2</v>
      </c>
      <c r="P2" s="9">
        <v>824</v>
      </c>
      <c r="Q2" s="10">
        <v>2</v>
      </c>
      <c r="R2" s="10">
        <v>1.5</v>
      </c>
    </row>
    <row r="3" spans="1:18" x14ac:dyDescent="0.5">
      <c r="A3" s="7">
        <v>2</v>
      </c>
      <c r="B3" s="8" t="s">
        <v>15</v>
      </c>
      <c r="C3" s="11">
        <v>0</v>
      </c>
      <c r="D3" s="11" t="str">
        <f t="shared" ref="D3:D66" si="0">IF(C3=1,"POOL","NO POOL")</f>
        <v>NO POOL</v>
      </c>
      <c r="E3" s="11">
        <v>0</v>
      </c>
      <c r="F3" s="11" t="str">
        <f t="shared" ref="F3:F66" si="1">IF(E3=1,"GARAGE","NO GARAGE")</f>
        <v>NO GARAGE</v>
      </c>
      <c r="G3" s="11">
        <v>4</v>
      </c>
      <c r="H3" s="17">
        <v>2</v>
      </c>
      <c r="I3" s="17" t="str" cm="1">
        <f t="array" ref="I3">_xlfn.IFS(H3=1,"LOW",H3=2,"MEDIUM",H3=3,"HIGH")</f>
        <v>MEDIUM</v>
      </c>
      <c r="J3" s="11" t="s">
        <v>14</v>
      </c>
      <c r="K3" s="28">
        <v>0</v>
      </c>
      <c r="L3" s="23">
        <v>346150</v>
      </c>
      <c r="M3" s="26">
        <v>3010</v>
      </c>
      <c r="N3" s="9">
        <v>36</v>
      </c>
      <c r="O3" s="9">
        <v>9</v>
      </c>
      <c r="P3" s="9">
        <v>820</v>
      </c>
      <c r="Q3" s="10">
        <v>3</v>
      </c>
      <c r="R3" s="10">
        <v>2</v>
      </c>
    </row>
    <row r="4" spans="1:18" x14ac:dyDescent="0.5">
      <c r="A4" s="7">
        <v>3</v>
      </c>
      <c r="B4" s="8" t="s">
        <v>16</v>
      </c>
      <c r="C4" s="11">
        <v>0</v>
      </c>
      <c r="D4" s="11" t="str">
        <f t="shared" si="0"/>
        <v>NO POOL</v>
      </c>
      <c r="E4" s="11">
        <v>1</v>
      </c>
      <c r="F4" s="11" t="str">
        <f t="shared" si="1"/>
        <v>GARAGE</v>
      </c>
      <c r="G4" s="11">
        <v>2</v>
      </c>
      <c r="H4" s="17">
        <v>2</v>
      </c>
      <c r="I4" s="17" t="str" cm="1">
        <f t="array" ref="I4">_xlfn.IFS(H4=1,"LOW",H4=2,"MEDIUM",H4=3,"HIGH")</f>
        <v>MEDIUM</v>
      </c>
      <c r="J4" s="11" t="s">
        <v>14</v>
      </c>
      <c r="K4" s="28">
        <v>0</v>
      </c>
      <c r="L4" s="23">
        <v>372360</v>
      </c>
      <c r="M4" s="26">
        <v>3210</v>
      </c>
      <c r="N4" s="9">
        <v>21</v>
      </c>
      <c r="O4" s="9">
        <v>18</v>
      </c>
      <c r="P4" s="9">
        <v>819</v>
      </c>
      <c r="Q4" s="10">
        <v>4</v>
      </c>
      <c r="R4" s="10">
        <v>3</v>
      </c>
    </row>
    <row r="5" spans="1:18" x14ac:dyDescent="0.5">
      <c r="A5" s="7">
        <v>4</v>
      </c>
      <c r="B5" s="8" t="s">
        <v>17</v>
      </c>
      <c r="C5" s="11">
        <v>1</v>
      </c>
      <c r="D5" s="11" t="str">
        <f t="shared" si="0"/>
        <v>POOL</v>
      </c>
      <c r="E5" s="11">
        <v>0</v>
      </c>
      <c r="F5" s="11" t="str">
        <f t="shared" si="1"/>
        <v>NO GARAGE</v>
      </c>
      <c r="G5" s="11">
        <v>3</v>
      </c>
      <c r="H5" s="17">
        <v>3</v>
      </c>
      <c r="I5" s="17" t="str" cm="1">
        <f t="array" ref="I5">_xlfn.IFS(H5=1,"LOW",H5=2,"MEDIUM",H5=3,"HIGH")</f>
        <v>HIGH</v>
      </c>
      <c r="J5" s="11" t="s">
        <v>14</v>
      </c>
      <c r="K5" s="28">
        <v>0</v>
      </c>
      <c r="L5" s="23">
        <v>310622</v>
      </c>
      <c r="M5" s="26">
        <v>3330</v>
      </c>
      <c r="N5" s="9">
        <v>26</v>
      </c>
      <c r="O5" s="9">
        <v>17</v>
      </c>
      <c r="P5" s="9">
        <v>817</v>
      </c>
      <c r="Q5" s="10">
        <v>3</v>
      </c>
      <c r="R5" s="10">
        <v>2.5</v>
      </c>
    </row>
    <row r="6" spans="1:18" x14ac:dyDescent="0.5">
      <c r="A6" s="7">
        <v>5</v>
      </c>
      <c r="B6" s="8" t="s">
        <v>16</v>
      </c>
      <c r="C6" s="11">
        <v>0</v>
      </c>
      <c r="D6" s="11" t="str">
        <f t="shared" si="0"/>
        <v>NO POOL</v>
      </c>
      <c r="E6" s="11">
        <v>1</v>
      </c>
      <c r="F6" s="11" t="str">
        <f t="shared" si="1"/>
        <v>GARAGE</v>
      </c>
      <c r="G6" s="11">
        <v>4</v>
      </c>
      <c r="H6" s="17">
        <v>1</v>
      </c>
      <c r="I6" s="17" t="str" cm="1">
        <f t="array" ref="I6">_xlfn.IFS(H6=1,"LOW",H6=2,"MEDIUM",H6=3,"HIGH")</f>
        <v>LOW</v>
      </c>
      <c r="J6" s="11" t="s">
        <v>14</v>
      </c>
      <c r="K6" s="28">
        <v>0</v>
      </c>
      <c r="L6" s="23">
        <v>496100</v>
      </c>
      <c r="M6" s="26">
        <v>4510</v>
      </c>
      <c r="N6" s="9">
        <v>13</v>
      </c>
      <c r="O6" s="9">
        <v>17</v>
      </c>
      <c r="P6" s="9">
        <v>816</v>
      </c>
      <c r="Q6" s="10">
        <v>6</v>
      </c>
      <c r="R6" s="10">
        <v>4.5</v>
      </c>
    </row>
    <row r="7" spans="1:18" x14ac:dyDescent="0.5">
      <c r="A7" s="7">
        <v>6</v>
      </c>
      <c r="B7" s="8" t="s">
        <v>17</v>
      </c>
      <c r="C7" s="11">
        <v>1</v>
      </c>
      <c r="D7" s="11" t="str">
        <f t="shared" si="0"/>
        <v>POOL</v>
      </c>
      <c r="E7" s="11">
        <v>1</v>
      </c>
      <c r="F7" s="11" t="str">
        <f t="shared" si="1"/>
        <v>GARAGE</v>
      </c>
      <c r="G7" s="11">
        <v>4</v>
      </c>
      <c r="H7" s="17">
        <v>2</v>
      </c>
      <c r="I7" s="17" t="str" cm="1">
        <f t="array" ref="I7">_xlfn.IFS(H7=1,"LOW",H7=2,"MEDIUM",H7=3,"HIGH")</f>
        <v>MEDIUM</v>
      </c>
      <c r="J7" s="11" t="s">
        <v>14</v>
      </c>
      <c r="K7" s="28">
        <v>0</v>
      </c>
      <c r="L7" s="23">
        <v>294086</v>
      </c>
      <c r="M7" s="26">
        <v>3440</v>
      </c>
      <c r="N7" s="9">
        <v>31</v>
      </c>
      <c r="O7" s="9">
        <v>19</v>
      </c>
      <c r="P7" s="9">
        <v>813</v>
      </c>
      <c r="Q7" s="10">
        <v>4</v>
      </c>
      <c r="R7" s="10">
        <v>3</v>
      </c>
    </row>
    <row r="8" spans="1:18" x14ac:dyDescent="0.5">
      <c r="A8" s="7">
        <v>7</v>
      </c>
      <c r="B8" s="8" t="s">
        <v>16</v>
      </c>
      <c r="C8" s="11">
        <v>0</v>
      </c>
      <c r="D8" s="11" t="str">
        <f t="shared" si="0"/>
        <v>NO POOL</v>
      </c>
      <c r="E8" s="11">
        <v>1</v>
      </c>
      <c r="F8" s="11" t="str">
        <f t="shared" si="1"/>
        <v>GARAGE</v>
      </c>
      <c r="G8" s="11">
        <v>4</v>
      </c>
      <c r="H8" s="17">
        <v>1</v>
      </c>
      <c r="I8" s="17" t="str" cm="1">
        <f t="array" ref="I8">_xlfn.IFS(H8=1,"LOW",H8=2,"MEDIUM",H8=3,"HIGH")</f>
        <v>LOW</v>
      </c>
      <c r="J8" s="11" t="s">
        <v>18</v>
      </c>
      <c r="K8" s="28">
        <v>0</v>
      </c>
      <c r="L8" s="23">
        <v>228810</v>
      </c>
      <c r="M8" s="26">
        <v>2630</v>
      </c>
      <c r="N8" s="9">
        <v>39</v>
      </c>
      <c r="O8" s="9">
        <v>10</v>
      </c>
      <c r="P8" s="9">
        <v>813</v>
      </c>
      <c r="Q8" s="10">
        <v>4</v>
      </c>
      <c r="R8" s="10">
        <v>2.5</v>
      </c>
    </row>
    <row r="9" spans="1:18" x14ac:dyDescent="0.5">
      <c r="A9" s="7">
        <v>8</v>
      </c>
      <c r="B9" s="8" t="s">
        <v>19</v>
      </c>
      <c r="C9" s="11">
        <v>0</v>
      </c>
      <c r="D9" s="11" t="str">
        <f t="shared" si="0"/>
        <v>NO POOL</v>
      </c>
      <c r="E9" s="11">
        <v>1</v>
      </c>
      <c r="F9" s="11" t="str">
        <f t="shared" si="1"/>
        <v>GARAGE</v>
      </c>
      <c r="G9" s="11">
        <v>2</v>
      </c>
      <c r="H9" s="17">
        <v>3</v>
      </c>
      <c r="I9" s="17" t="str" cm="1">
        <f t="array" ref="I9">_xlfn.IFS(H9=1,"LOW",H9=2,"MEDIUM",H9=3,"HIGH")</f>
        <v>HIGH</v>
      </c>
      <c r="J9" s="11" t="s">
        <v>14</v>
      </c>
      <c r="K9" s="28">
        <v>0</v>
      </c>
      <c r="L9" s="23">
        <v>384420</v>
      </c>
      <c r="M9" s="26">
        <v>4470</v>
      </c>
      <c r="N9" s="9">
        <v>26</v>
      </c>
      <c r="O9" s="9">
        <v>6</v>
      </c>
      <c r="P9" s="9">
        <v>812</v>
      </c>
      <c r="Q9" s="10">
        <v>5</v>
      </c>
      <c r="R9" s="10">
        <v>3.5</v>
      </c>
    </row>
    <row r="10" spans="1:18" x14ac:dyDescent="0.5">
      <c r="A10" s="7">
        <v>9</v>
      </c>
      <c r="B10" s="8" t="s">
        <v>17</v>
      </c>
      <c r="C10" s="11">
        <v>0</v>
      </c>
      <c r="D10" s="11" t="str">
        <f t="shared" si="0"/>
        <v>NO POOL</v>
      </c>
      <c r="E10" s="11">
        <v>1</v>
      </c>
      <c r="F10" s="11" t="str">
        <f t="shared" si="1"/>
        <v>GARAGE</v>
      </c>
      <c r="G10" s="11">
        <v>4</v>
      </c>
      <c r="H10" s="17">
        <v>3</v>
      </c>
      <c r="I10" s="17" t="str" cm="1">
        <f t="array" ref="I10">_xlfn.IFS(H10=1,"LOW",H10=2,"MEDIUM",H10=3,"HIGH")</f>
        <v>HIGH</v>
      </c>
      <c r="J10" s="11" t="s">
        <v>14</v>
      </c>
      <c r="K10" s="28">
        <v>0</v>
      </c>
      <c r="L10" s="23">
        <v>416120</v>
      </c>
      <c r="M10" s="26">
        <v>4040</v>
      </c>
      <c r="N10" s="9">
        <v>26</v>
      </c>
      <c r="O10" s="9">
        <v>3</v>
      </c>
      <c r="P10" s="9">
        <v>810</v>
      </c>
      <c r="Q10" s="10">
        <v>5</v>
      </c>
      <c r="R10" s="10">
        <v>3.5</v>
      </c>
    </row>
    <row r="11" spans="1:18" x14ac:dyDescent="0.5">
      <c r="A11" s="7">
        <v>10</v>
      </c>
      <c r="B11" s="8" t="s">
        <v>19</v>
      </c>
      <c r="C11" s="11">
        <v>1</v>
      </c>
      <c r="D11" s="11" t="str">
        <f t="shared" si="0"/>
        <v>POOL</v>
      </c>
      <c r="E11" s="11">
        <v>1</v>
      </c>
      <c r="F11" s="11" t="str">
        <f t="shared" si="1"/>
        <v>GARAGE</v>
      </c>
      <c r="G11" s="11">
        <v>3</v>
      </c>
      <c r="H11" s="17">
        <v>2</v>
      </c>
      <c r="I11" s="17" t="str" cm="1">
        <f t="array" ref="I11">_xlfn.IFS(H11=1,"LOW",H11=2,"MEDIUM",H11=3,"HIGH")</f>
        <v>MEDIUM</v>
      </c>
      <c r="J11" s="11" t="s">
        <v>14</v>
      </c>
      <c r="K11" s="28">
        <v>0</v>
      </c>
      <c r="L11" s="23">
        <v>487494</v>
      </c>
      <c r="M11" s="26">
        <v>4380</v>
      </c>
      <c r="N11" s="9">
        <v>32</v>
      </c>
      <c r="O11" s="9">
        <v>6</v>
      </c>
      <c r="P11" s="9">
        <v>808</v>
      </c>
      <c r="Q11" s="10">
        <v>6</v>
      </c>
      <c r="R11" s="10">
        <v>4</v>
      </c>
    </row>
    <row r="12" spans="1:18" x14ac:dyDescent="0.5">
      <c r="A12" s="7">
        <v>11</v>
      </c>
      <c r="B12" s="8" t="s">
        <v>15</v>
      </c>
      <c r="C12" s="11">
        <v>0</v>
      </c>
      <c r="D12" s="11" t="str">
        <f t="shared" si="0"/>
        <v>NO POOL</v>
      </c>
      <c r="E12" s="11">
        <v>1</v>
      </c>
      <c r="F12" s="11" t="str">
        <f t="shared" si="1"/>
        <v>GARAGE</v>
      </c>
      <c r="G12" s="11">
        <v>4</v>
      </c>
      <c r="H12" s="17">
        <v>2</v>
      </c>
      <c r="I12" s="17" t="str" cm="1">
        <f t="array" ref="I12">_xlfn.IFS(H12=1,"LOW",H12=2,"MEDIUM",H12=3,"HIGH")</f>
        <v>MEDIUM</v>
      </c>
      <c r="J12" s="11" t="s">
        <v>14</v>
      </c>
      <c r="K12" s="28">
        <v>1</v>
      </c>
      <c r="L12" s="23">
        <v>448800</v>
      </c>
      <c r="M12" s="26">
        <v>5280</v>
      </c>
      <c r="N12" s="9">
        <v>35</v>
      </c>
      <c r="O12" s="9">
        <v>8</v>
      </c>
      <c r="P12" s="9">
        <v>806</v>
      </c>
      <c r="Q12" s="10">
        <v>6</v>
      </c>
      <c r="R12" s="10">
        <v>4</v>
      </c>
    </row>
    <row r="13" spans="1:18" x14ac:dyDescent="0.5">
      <c r="A13" s="7">
        <v>12</v>
      </c>
      <c r="B13" s="8" t="s">
        <v>17</v>
      </c>
      <c r="C13" s="11">
        <v>0</v>
      </c>
      <c r="D13" s="11" t="str">
        <f t="shared" si="0"/>
        <v>NO POOL</v>
      </c>
      <c r="E13" s="11">
        <v>1</v>
      </c>
      <c r="F13" s="11" t="str">
        <f t="shared" si="1"/>
        <v>GARAGE</v>
      </c>
      <c r="G13" s="11">
        <v>2</v>
      </c>
      <c r="H13" s="17">
        <v>2</v>
      </c>
      <c r="I13" s="17" t="str" cm="1">
        <f t="array" ref="I13">_xlfn.IFS(H13=1,"LOW",H13=2,"MEDIUM",H13=3,"HIGH")</f>
        <v>MEDIUM</v>
      </c>
      <c r="J13" s="11" t="s">
        <v>18</v>
      </c>
      <c r="K13" s="28">
        <v>1</v>
      </c>
      <c r="L13" s="23">
        <v>388960</v>
      </c>
      <c r="M13" s="26">
        <v>4420</v>
      </c>
      <c r="N13" s="9">
        <v>50</v>
      </c>
      <c r="O13" s="9">
        <v>9</v>
      </c>
      <c r="P13" s="9">
        <v>805</v>
      </c>
      <c r="Q13" s="10">
        <v>4</v>
      </c>
      <c r="R13" s="10">
        <v>3</v>
      </c>
    </row>
    <row r="14" spans="1:18" x14ac:dyDescent="0.5">
      <c r="A14" s="7">
        <v>13</v>
      </c>
      <c r="B14" s="11" t="s">
        <v>13</v>
      </c>
      <c r="C14" s="11">
        <v>0</v>
      </c>
      <c r="D14" s="11" t="str">
        <f t="shared" si="0"/>
        <v>NO POOL</v>
      </c>
      <c r="E14" s="11">
        <v>1</v>
      </c>
      <c r="F14" s="11" t="str">
        <f t="shared" si="1"/>
        <v>GARAGE</v>
      </c>
      <c r="G14" s="11">
        <v>3</v>
      </c>
      <c r="H14" s="17">
        <v>2</v>
      </c>
      <c r="I14" s="17" t="str" cm="1">
        <f t="array" ref="I14">_xlfn.IFS(H14=1,"LOW",H14=2,"MEDIUM",H14=3,"HIGH")</f>
        <v>MEDIUM</v>
      </c>
      <c r="J14" s="11" t="s">
        <v>18</v>
      </c>
      <c r="K14" s="28">
        <v>1</v>
      </c>
      <c r="L14" s="23">
        <v>335610</v>
      </c>
      <c r="M14" s="26">
        <v>2970</v>
      </c>
      <c r="N14" s="9">
        <v>25</v>
      </c>
      <c r="O14" s="9">
        <v>9</v>
      </c>
      <c r="P14" s="9">
        <v>801</v>
      </c>
      <c r="Q14" s="10">
        <v>3</v>
      </c>
      <c r="R14" s="10">
        <v>2.5</v>
      </c>
    </row>
    <row r="15" spans="1:18" x14ac:dyDescent="0.5">
      <c r="A15" s="7">
        <v>14</v>
      </c>
      <c r="B15" s="8" t="s">
        <v>15</v>
      </c>
      <c r="C15" s="11">
        <v>0</v>
      </c>
      <c r="D15" s="11" t="str">
        <f t="shared" si="0"/>
        <v>NO POOL</v>
      </c>
      <c r="E15" s="11">
        <v>0</v>
      </c>
      <c r="F15" s="11" t="str">
        <f t="shared" si="1"/>
        <v>NO GARAGE</v>
      </c>
      <c r="G15" s="11">
        <v>1</v>
      </c>
      <c r="H15" s="17">
        <v>2</v>
      </c>
      <c r="I15" s="17" t="str" cm="1">
        <f t="array" ref="I15">_xlfn.IFS(H15=1,"LOW",H15=2,"MEDIUM",H15=3,"HIGH")</f>
        <v>MEDIUM</v>
      </c>
      <c r="J15" s="11" t="s">
        <v>14</v>
      </c>
      <c r="K15" s="28">
        <v>0</v>
      </c>
      <c r="L15" s="23">
        <v>276000</v>
      </c>
      <c r="M15" s="26">
        <v>2300</v>
      </c>
      <c r="N15" s="9">
        <v>34</v>
      </c>
      <c r="O15" s="9">
        <v>20</v>
      </c>
      <c r="P15" s="9">
        <v>798</v>
      </c>
      <c r="Q15" s="10">
        <v>2</v>
      </c>
      <c r="R15" s="10">
        <v>1.5</v>
      </c>
    </row>
    <row r="16" spans="1:18" x14ac:dyDescent="0.5">
      <c r="A16" s="7">
        <v>15</v>
      </c>
      <c r="B16" s="8" t="s">
        <v>15</v>
      </c>
      <c r="C16" s="11">
        <v>1</v>
      </c>
      <c r="D16" s="11" t="str">
        <f t="shared" si="0"/>
        <v>POOL</v>
      </c>
      <c r="E16" s="11">
        <v>1</v>
      </c>
      <c r="F16" s="11" t="str">
        <f t="shared" si="1"/>
        <v>GARAGE</v>
      </c>
      <c r="G16" s="11">
        <v>3</v>
      </c>
      <c r="H16" s="17">
        <v>2</v>
      </c>
      <c r="I16" s="17" t="str" cm="1">
        <f t="array" ref="I16">_xlfn.IFS(H16=1,"LOW",H16=2,"MEDIUM",H16=3,"HIGH")</f>
        <v>MEDIUM</v>
      </c>
      <c r="J16" s="11" t="s">
        <v>18</v>
      </c>
      <c r="K16" s="28">
        <v>0</v>
      </c>
      <c r="L16" s="23">
        <v>346421</v>
      </c>
      <c r="M16" s="26">
        <v>2970</v>
      </c>
      <c r="N16" s="9">
        <v>17</v>
      </c>
      <c r="O16" s="9">
        <v>10</v>
      </c>
      <c r="P16" s="9">
        <v>795</v>
      </c>
      <c r="Q16" s="10">
        <v>4</v>
      </c>
      <c r="R16" s="10">
        <v>3</v>
      </c>
    </row>
    <row r="17" spans="1:18" x14ac:dyDescent="0.5">
      <c r="A17" s="7">
        <v>16</v>
      </c>
      <c r="B17" s="11" t="s">
        <v>19</v>
      </c>
      <c r="C17" s="11">
        <v>1</v>
      </c>
      <c r="D17" s="11" t="str">
        <f t="shared" si="0"/>
        <v>POOL</v>
      </c>
      <c r="E17" s="11">
        <v>1</v>
      </c>
      <c r="F17" s="11" t="str">
        <f t="shared" si="1"/>
        <v>GARAGE</v>
      </c>
      <c r="G17" s="11">
        <v>3</v>
      </c>
      <c r="H17" s="17">
        <v>2</v>
      </c>
      <c r="I17" s="17" t="str" cm="1">
        <f t="array" ref="I17">_xlfn.IFS(H17=1,"LOW",H17=2,"MEDIUM",H17=3,"HIGH")</f>
        <v>MEDIUM</v>
      </c>
      <c r="J17" s="11" t="s">
        <v>14</v>
      </c>
      <c r="K17" s="28">
        <v>0</v>
      </c>
      <c r="L17" s="23">
        <v>453913</v>
      </c>
      <c r="M17" s="26">
        <v>3660</v>
      </c>
      <c r="N17" s="9">
        <v>12</v>
      </c>
      <c r="O17" s="9">
        <v>18</v>
      </c>
      <c r="P17" s="9">
        <v>792</v>
      </c>
      <c r="Q17" s="10">
        <v>6</v>
      </c>
      <c r="R17" s="10">
        <v>4</v>
      </c>
    </row>
    <row r="18" spans="1:18" x14ac:dyDescent="0.5">
      <c r="A18" s="7">
        <v>17</v>
      </c>
      <c r="B18" s="8" t="s">
        <v>16</v>
      </c>
      <c r="C18" s="11">
        <v>1</v>
      </c>
      <c r="D18" s="11" t="str">
        <f t="shared" si="0"/>
        <v>POOL</v>
      </c>
      <c r="E18" s="11">
        <v>1</v>
      </c>
      <c r="F18" s="11" t="str">
        <f t="shared" si="1"/>
        <v>GARAGE</v>
      </c>
      <c r="G18" s="11">
        <v>2</v>
      </c>
      <c r="H18" s="17">
        <v>1</v>
      </c>
      <c r="I18" s="17" t="str" cm="1">
        <f t="array" ref="I18">_xlfn.IFS(H18=1,"LOW",H18=2,"MEDIUM",H18=3,"HIGH")</f>
        <v>LOW</v>
      </c>
      <c r="J18" s="11" t="s">
        <v>18</v>
      </c>
      <c r="K18" s="28">
        <v>1</v>
      </c>
      <c r="L18" s="23">
        <v>376146</v>
      </c>
      <c r="M18" s="26">
        <v>3290</v>
      </c>
      <c r="N18" s="9">
        <v>28</v>
      </c>
      <c r="O18" s="9">
        <v>9</v>
      </c>
      <c r="P18" s="9">
        <v>792</v>
      </c>
      <c r="Q18" s="10">
        <v>5</v>
      </c>
      <c r="R18" s="10">
        <v>3.5</v>
      </c>
    </row>
    <row r="19" spans="1:18" x14ac:dyDescent="0.5">
      <c r="A19" s="7">
        <v>18</v>
      </c>
      <c r="B19" s="8" t="s">
        <v>17</v>
      </c>
      <c r="C19" s="11">
        <v>1</v>
      </c>
      <c r="D19" s="11" t="str">
        <f t="shared" si="0"/>
        <v>POOL</v>
      </c>
      <c r="E19" s="11">
        <v>1</v>
      </c>
      <c r="F19" s="11" t="str">
        <f t="shared" si="1"/>
        <v>GARAGE</v>
      </c>
      <c r="G19" s="11">
        <v>3</v>
      </c>
      <c r="H19" s="17">
        <v>2</v>
      </c>
      <c r="I19" s="17" t="str" cm="1">
        <f t="array" ref="I19">_xlfn.IFS(H19=1,"LOW",H19=2,"MEDIUM",H19=3,"HIGH")</f>
        <v>MEDIUM</v>
      </c>
      <c r="J19" s="11" t="s">
        <v>18</v>
      </c>
      <c r="K19" s="28">
        <v>0</v>
      </c>
      <c r="L19" s="23">
        <v>694430</v>
      </c>
      <c r="M19" s="26">
        <v>5900</v>
      </c>
      <c r="N19" s="9">
        <v>36</v>
      </c>
      <c r="O19" s="9">
        <v>10</v>
      </c>
      <c r="P19" s="9">
        <v>788</v>
      </c>
      <c r="Q19" s="10">
        <v>5</v>
      </c>
      <c r="R19" s="10">
        <v>3.5</v>
      </c>
    </row>
    <row r="20" spans="1:18" x14ac:dyDescent="0.5">
      <c r="A20" s="7">
        <v>19</v>
      </c>
      <c r="B20" s="8" t="s">
        <v>15</v>
      </c>
      <c r="C20" s="11">
        <v>1</v>
      </c>
      <c r="D20" s="11" t="str">
        <f t="shared" si="0"/>
        <v>POOL</v>
      </c>
      <c r="E20" s="11">
        <v>1</v>
      </c>
      <c r="F20" s="11" t="str">
        <f t="shared" si="1"/>
        <v>GARAGE</v>
      </c>
      <c r="G20" s="11">
        <v>3</v>
      </c>
      <c r="H20" s="17">
        <v>3</v>
      </c>
      <c r="I20" s="17" t="str" cm="1">
        <f t="array" ref="I20">_xlfn.IFS(H20=1,"LOW",H20=2,"MEDIUM",H20=3,"HIGH")</f>
        <v>HIGH</v>
      </c>
      <c r="J20" s="11" t="s">
        <v>14</v>
      </c>
      <c r="K20" s="28">
        <v>0</v>
      </c>
      <c r="L20" s="23">
        <v>251269</v>
      </c>
      <c r="M20" s="26">
        <v>2050</v>
      </c>
      <c r="N20" s="9">
        <v>38</v>
      </c>
      <c r="O20" s="9">
        <v>16</v>
      </c>
      <c r="P20" s="9">
        <v>786</v>
      </c>
      <c r="Q20" s="10">
        <v>3</v>
      </c>
      <c r="R20" s="10">
        <v>2</v>
      </c>
    </row>
    <row r="21" spans="1:18" x14ac:dyDescent="0.5">
      <c r="A21" s="7">
        <v>20</v>
      </c>
      <c r="B21" s="8" t="s">
        <v>15</v>
      </c>
      <c r="C21" s="11">
        <v>1</v>
      </c>
      <c r="D21" s="11" t="str">
        <f t="shared" si="0"/>
        <v>POOL</v>
      </c>
      <c r="E21" s="11">
        <v>1</v>
      </c>
      <c r="F21" s="11" t="str">
        <f t="shared" si="1"/>
        <v>GARAGE</v>
      </c>
      <c r="G21" s="11">
        <v>5</v>
      </c>
      <c r="H21" s="17">
        <v>2</v>
      </c>
      <c r="I21" s="17" t="str" cm="1">
        <f t="array" ref="I21">_xlfn.IFS(H21=1,"LOW",H21=2,"MEDIUM",H21=3,"HIGH")</f>
        <v>MEDIUM</v>
      </c>
      <c r="J21" s="11" t="s">
        <v>14</v>
      </c>
      <c r="K21" s="28">
        <v>0</v>
      </c>
      <c r="L21" s="23">
        <v>547596</v>
      </c>
      <c r="M21" s="26">
        <v>4920</v>
      </c>
      <c r="N21" s="9">
        <v>37</v>
      </c>
      <c r="O21" s="9">
        <v>2</v>
      </c>
      <c r="P21" s="9">
        <v>785</v>
      </c>
      <c r="Q21" s="10">
        <v>6</v>
      </c>
      <c r="R21" s="10">
        <v>4.5</v>
      </c>
    </row>
    <row r="22" spans="1:18" x14ac:dyDescent="0.5">
      <c r="A22" s="7">
        <v>21</v>
      </c>
      <c r="B22" s="8" t="s">
        <v>13</v>
      </c>
      <c r="C22" s="11">
        <v>1</v>
      </c>
      <c r="D22" s="11" t="str">
        <f t="shared" si="0"/>
        <v>POOL</v>
      </c>
      <c r="E22" s="11">
        <v>0</v>
      </c>
      <c r="F22" s="11" t="str">
        <f t="shared" si="1"/>
        <v>NO GARAGE</v>
      </c>
      <c r="G22" s="11">
        <v>4</v>
      </c>
      <c r="H22" s="17">
        <v>2</v>
      </c>
      <c r="I22" s="17" t="str" cm="1">
        <f t="array" ref="I22">_xlfn.IFS(H22=1,"LOW",H22=2,"MEDIUM",H22=3,"HIGH")</f>
        <v>MEDIUM</v>
      </c>
      <c r="J22" s="11" t="s">
        <v>14</v>
      </c>
      <c r="K22" s="28">
        <v>0</v>
      </c>
      <c r="L22" s="23">
        <v>214910</v>
      </c>
      <c r="M22" s="26">
        <v>1950</v>
      </c>
      <c r="N22" s="9">
        <v>20</v>
      </c>
      <c r="O22" s="9">
        <v>6</v>
      </c>
      <c r="P22" s="9">
        <v>784</v>
      </c>
      <c r="Q22" s="10">
        <v>2</v>
      </c>
      <c r="R22" s="10">
        <v>1.5</v>
      </c>
    </row>
    <row r="23" spans="1:18" x14ac:dyDescent="0.5">
      <c r="A23" s="7">
        <v>22</v>
      </c>
      <c r="B23" s="8" t="s">
        <v>15</v>
      </c>
      <c r="C23" s="11">
        <v>1</v>
      </c>
      <c r="D23" s="11" t="str">
        <f t="shared" si="0"/>
        <v>POOL</v>
      </c>
      <c r="E23" s="11">
        <v>0</v>
      </c>
      <c r="F23" s="11" t="str">
        <f t="shared" si="1"/>
        <v>NO GARAGE</v>
      </c>
      <c r="G23" s="11">
        <v>1</v>
      </c>
      <c r="H23" s="17">
        <v>2</v>
      </c>
      <c r="I23" s="17" t="str" cm="1">
        <f t="array" ref="I23">_xlfn.IFS(H23=1,"LOW",H23=2,"MEDIUM",H23=3,"HIGH")</f>
        <v>MEDIUM</v>
      </c>
      <c r="J23" s="11" t="s">
        <v>14</v>
      </c>
      <c r="K23" s="28">
        <v>0</v>
      </c>
      <c r="L23" s="23">
        <v>188799</v>
      </c>
      <c r="M23" s="26">
        <v>1950</v>
      </c>
      <c r="N23" s="9">
        <v>52</v>
      </c>
      <c r="O23" s="9">
        <v>10</v>
      </c>
      <c r="P23" s="9">
        <v>782</v>
      </c>
      <c r="Q23" s="10">
        <v>2</v>
      </c>
      <c r="R23" s="10">
        <v>1.5</v>
      </c>
    </row>
    <row r="24" spans="1:18" x14ac:dyDescent="0.5">
      <c r="A24" s="7">
        <v>23</v>
      </c>
      <c r="B24" s="8" t="s">
        <v>16</v>
      </c>
      <c r="C24" s="11">
        <v>1</v>
      </c>
      <c r="D24" s="11" t="str">
        <f t="shared" si="0"/>
        <v>POOL</v>
      </c>
      <c r="E24" s="11">
        <v>1</v>
      </c>
      <c r="F24" s="11" t="str">
        <f t="shared" si="1"/>
        <v>GARAGE</v>
      </c>
      <c r="G24" s="11">
        <v>4</v>
      </c>
      <c r="H24" s="17">
        <v>3</v>
      </c>
      <c r="I24" s="17" t="str" cm="1">
        <f t="array" ref="I24">_xlfn.IFS(H24=1,"LOW",H24=2,"MEDIUM",H24=3,"HIGH")</f>
        <v>HIGH</v>
      </c>
      <c r="J24" s="11" t="s">
        <v>14</v>
      </c>
      <c r="K24" s="28">
        <v>0</v>
      </c>
      <c r="L24" s="23">
        <v>459950</v>
      </c>
      <c r="M24" s="26">
        <v>4680</v>
      </c>
      <c r="N24" s="9">
        <v>31</v>
      </c>
      <c r="O24" s="9">
        <v>8</v>
      </c>
      <c r="P24" s="9">
        <v>781</v>
      </c>
      <c r="Q24" s="10">
        <v>4</v>
      </c>
      <c r="R24" s="10">
        <v>3</v>
      </c>
    </row>
    <row r="25" spans="1:18" x14ac:dyDescent="0.5">
      <c r="A25" s="7">
        <v>24</v>
      </c>
      <c r="B25" s="8" t="s">
        <v>19</v>
      </c>
      <c r="C25" s="11">
        <v>0</v>
      </c>
      <c r="D25" s="11" t="str">
        <f t="shared" si="0"/>
        <v>NO POOL</v>
      </c>
      <c r="E25" s="11">
        <v>1</v>
      </c>
      <c r="F25" s="11" t="str">
        <f t="shared" si="1"/>
        <v>GARAGE</v>
      </c>
      <c r="G25" s="11">
        <v>1</v>
      </c>
      <c r="H25" s="17">
        <v>2</v>
      </c>
      <c r="I25" s="17" t="str" cm="1">
        <f t="array" ref="I25">_xlfn.IFS(H25=1,"LOW",H25=2,"MEDIUM",H25=3,"HIGH")</f>
        <v>MEDIUM</v>
      </c>
      <c r="J25" s="11" t="s">
        <v>14</v>
      </c>
      <c r="K25" s="28">
        <v>0</v>
      </c>
      <c r="L25" s="23">
        <v>264160</v>
      </c>
      <c r="M25" s="26">
        <v>2540</v>
      </c>
      <c r="N25" s="9">
        <v>40</v>
      </c>
      <c r="O25" s="9">
        <v>18</v>
      </c>
      <c r="P25" s="9">
        <v>780</v>
      </c>
      <c r="Q25" s="10">
        <v>3</v>
      </c>
      <c r="R25" s="10">
        <v>2.5</v>
      </c>
    </row>
    <row r="26" spans="1:18" x14ac:dyDescent="0.5">
      <c r="A26" s="7">
        <v>25</v>
      </c>
      <c r="B26" s="8" t="s">
        <v>16</v>
      </c>
      <c r="C26" s="11">
        <v>1</v>
      </c>
      <c r="D26" s="11" t="str">
        <f t="shared" si="0"/>
        <v>POOL</v>
      </c>
      <c r="E26" s="11">
        <v>1</v>
      </c>
      <c r="F26" s="11" t="str">
        <f t="shared" si="1"/>
        <v>GARAGE</v>
      </c>
      <c r="G26" s="11">
        <v>1</v>
      </c>
      <c r="H26" s="17">
        <v>3</v>
      </c>
      <c r="I26" s="17" t="str" cm="1">
        <f t="array" ref="I26">_xlfn.IFS(H26=1,"LOW",H26=2,"MEDIUM",H26=3,"HIGH")</f>
        <v>HIGH</v>
      </c>
      <c r="J26" s="11" t="s">
        <v>14</v>
      </c>
      <c r="K26" s="28">
        <v>0</v>
      </c>
      <c r="L26" s="23">
        <v>393557</v>
      </c>
      <c r="M26" s="26">
        <v>3180</v>
      </c>
      <c r="N26" s="9">
        <v>54</v>
      </c>
      <c r="O26" s="9">
        <v>20</v>
      </c>
      <c r="P26" s="9">
        <v>776</v>
      </c>
      <c r="Q26" s="10">
        <v>4</v>
      </c>
      <c r="R26" s="10">
        <v>3</v>
      </c>
    </row>
    <row r="27" spans="1:18" x14ac:dyDescent="0.5">
      <c r="A27" s="7">
        <v>26</v>
      </c>
      <c r="B27" s="11" t="s">
        <v>19</v>
      </c>
      <c r="C27" s="11">
        <v>1</v>
      </c>
      <c r="D27" s="11" t="str">
        <f t="shared" si="0"/>
        <v>POOL</v>
      </c>
      <c r="E27" s="11">
        <v>1</v>
      </c>
      <c r="F27" s="11" t="str">
        <f t="shared" si="1"/>
        <v>GARAGE</v>
      </c>
      <c r="G27" s="11">
        <v>5</v>
      </c>
      <c r="H27" s="17">
        <v>2</v>
      </c>
      <c r="I27" s="17" t="str" cm="1">
        <f t="array" ref="I27">_xlfn.IFS(H27=1,"LOW",H27=2,"MEDIUM",H27=3,"HIGH")</f>
        <v>MEDIUM</v>
      </c>
      <c r="J27" s="11" t="s">
        <v>18</v>
      </c>
      <c r="K27" s="28">
        <v>0</v>
      </c>
      <c r="L27" s="23">
        <v>478675</v>
      </c>
      <c r="M27" s="26">
        <v>4660</v>
      </c>
      <c r="N27" s="9">
        <v>26</v>
      </c>
      <c r="O27" s="9">
        <v>9</v>
      </c>
      <c r="P27" s="9">
        <v>773</v>
      </c>
      <c r="Q27" s="10">
        <v>5</v>
      </c>
      <c r="R27" s="10">
        <v>3.5</v>
      </c>
    </row>
    <row r="28" spans="1:18" x14ac:dyDescent="0.5">
      <c r="A28" s="7">
        <v>27</v>
      </c>
      <c r="B28" s="8" t="s">
        <v>16</v>
      </c>
      <c r="C28" s="11">
        <v>0</v>
      </c>
      <c r="D28" s="11" t="str">
        <f t="shared" si="0"/>
        <v>NO POOL</v>
      </c>
      <c r="E28" s="11">
        <v>1</v>
      </c>
      <c r="F28" s="11" t="str">
        <f t="shared" si="1"/>
        <v>GARAGE</v>
      </c>
      <c r="G28" s="11">
        <v>4</v>
      </c>
      <c r="H28" s="17">
        <v>2</v>
      </c>
      <c r="I28" s="17" t="str" cm="1">
        <f t="array" ref="I28">_xlfn.IFS(H28=1,"LOW",H28=2,"MEDIUM",H28=3,"HIGH")</f>
        <v>MEDIUM</v>
      </c>
      <c r="J28" s="11" t="s">
        <v>18</v>
      </c>
      <c r="K28" s="28">
        <v>1</v>
      </c>
      <c r="L28" s="23">
        <v>384020</v>
      </c>
      <c r="M28" s="26">
        <v>4220</v>
      </c>
      <c r="N28" s="9">
        <v>23</v>
      </c>
      <c r="O28" s="9">
        <v>9</v>
      </c>
      <c r="P28" s="9">
        <v>772</v>
      </c>
      <c r="Q28" s="10">
        <v>5</v>
      </c>
      <c r="R28" s="10">
        <v>3.5</v>
      </c>
    </row>
    <row r="29" spans="1:18" x14ac:dyDescent="0.5">
      <c r="A29" s="7">
        <v>28</v>
      </c>
      <c r="B29" s="8" t="s">
        <v>13</v>
      </c>
      <c r="C29" s="11">
        <v>0</v>
      </c>
      <c r="D29" s="11" t="str">
        <f t="shared" si="0"/>
        <v>NO POOL</v>
      </c>
      <c r="E29" s="11">
        <v>1</v>
      </c>
      <c r="F29" s="11" t="str">
        <f t="shared" si="1"/>
        <v>GARAGE</v>
      </c>
      <c r="G29" s="11">
        <v>3</v>
      </c>
      <c r="H29" s="17">
        <v>1</v>
      </c>
      <c r="I29" s="17" t="str" cm="1">
        <f t="array" ref="I29">_xlfn.IFS(H29=1,"LOW",H29=2,"MEDIUM",H29=3,"HIGH")</f>
        <v>LOW</v>
      </c>
      <c r="J29" s="11" t="s">
        <v>14</v>
      </c>
      <c r="K29" s="28">
        <v>0</v>
      </c>
      <c r="L29" s="23">
        <v>313200</v>
      </c>
      <c r="M29" s="26">
        <v>3600</v>
      </c>
      <c r="N29" s="9">
        <v>31</v>
      </c>
      <c r="O29" s="9">
        <v>19</v>
      </c>
      <c r="P29" s="9">
        <v>772</v>
      </c>
      <c r="Q29" s="10">
        <v>4</v>
      </c>
      <c r="R29" s="10">
        <v>3</v>
      </c>
    </row>
    <row r="30" spans="1:18" x14ac:dyDescent="0.5">
      <c r="A30" s="7">
        <v>29</v>
      </c>
      <c r="B30" s="8" t="s">
        <v>19</v>
      </c>
      <c r="C30" s="11">
        <v>1</v>
      </c>
      <c r="D30" s="11" t="str">
        <f t="shared" si="0"/>
        <v>POOL</v>
      </c>
      <c r="E30" s="11">
        <v>0</v>
      </c>
      <c r="F30" s="11" t="str">
        <f t="shared" si="1"/>
        <v>NO GARAGE</v>
      </c>
      <c r="G30" s="11">
        <v>3</v>
      </c>
      <c r="H30" s="17">
        <v>1</v>
      </c>
      <c r="I30" s="17" t="str" cm="1">
        <f t="array" ref="I30">_xlfn.IFS(H30=1,"LOW",H30=2,"MEDIUM",H30=3,"HIGH")</f>
        <v>LOW</v>
      </c>
      <c r="J30" s="11" t="s">
        <v>14</v>
      </c>
      <c r="K30" s="28">
        <v>0</v>
      </c>
      <c r="L30" s="23">
        <v>274482</v>
      </c>
      <c r="M30" s="26">
        <v>2990</v>
      </c>
      <c r="N30" s="9">
        <v>37</v>
      </c>
      <c r="O30" s="9">
        <v>5</v>
      </c>
      <c r="P30" s="9">
        <v>769</v>
      </c>
      <c r="Q30" s="10">
        <v>3</v>
      </c>
      <c r="R30" s="10">
        <v>2</v>
      </c>
    </row>
    <row r="31" spans="1:18" x14ac:dyDescent="0.5">
      <c r="A31" s="7">
        <v>30</v>
      </c>
      <c r="B31" s="8" t="s">
        <v>13</v>
      </c>
      <c r="C31" s="11">
        <v>1</v>
      </c>
      <c r="D31" s="11" t="str">
        <f t="shared" si="0"/>
        <v>POOL</v>
      </c>
      <c r="E31" s="11">
        <v>1</v>
      </c>
      <c r="F31" s="11" t="str">
        <f t="shared" si="1"/>
        <v>GARAGE</v>
      </c>
      <c r="G31" s="11">
        <v>5</v>
      </c>
      <c r="H31" s="17">
        <v>2</v>
      </c>
      <c r="I31" s="17" t="str" cm="1">
        <f t="array" ref="I31">_xlfn.IFS(H31=1,"LOW",H31=2,"MEDIUM",H31=3,"HIGH")</f>
        <v>MEDIUM</v>
      </c>
      <c r="J31" s="11" t="s">
        <v>14</v>
      </c>
      <c r="K31" s="28">
        <v>0</v>
      </c>
      <c r="L31" s="23">
        <v>167962</v>
      </c>
      <c r="M31" s="26">
        <v>1920</v>
      </c>
      <c r="N31" s="9">
        <v>31</v>
      </c>
      <c r="O31" s="9">
        <v>6</v>
      </c>
      <c r="P31" s="9">
        <v>769</v>
      </c>
      <c r="Q31" s="10">
        <v>2</v>
      </c>
      <c r="R31" s="10">
        <v>1.5</v>
      </c>
    </row>
    <row r="32" spans="1:18" x14ac:dyDescent="0.5">
      <c r="A32" s="7">
        <v>31</v>
      </c>
      <c r="B32" s="11" t="s">
        <v>19</v>
      </c>
      <c r="C32" s="11">
        <v>1</v>
      </c>
      <c r="D32" s="11" t="str">
        <f t="shared" si="0"/>
        <v>POOL</v>
      </c>
      <c r="E32" s="11">
        <v>0</v>
      </c>
      <c r="F32" s="11" t="str">
        <f t="shared" si="1"/>
        <v>NO GARAGE</v>
      </c>
      <c r="G32" s="11">
        <v>5</v>
      </c>
      <c r="H32" s="17">
        <v>2</v>
      </c>
      <c r="I32" s="17" t="str" cm="1">
        <f t="array" ref="I32">_xlfn.IFS(H32=1,"LOW",H32=2,"MEDIUM",H32=3,"HIGH")</f>
        <v>MEDIUM</v>
      </c>
      <c r="J32" s="11" t="s">
        <v>18</v>
      </c>
      <c r="K32" s="28">
        <v>1</v>
      </c>
      <c r="L32" s="23">
        <v>175823</v>
      </c>
      <c r="M32" s="26">
        <v>1970</v>
      </c>
      <c r="N32" s="9">
        <v>28</v>
      </c>
      <c r="O32" s="9">
        <v>9</v>
      </c>
      <c r="P32" s="9">
        <v>766</v>
      </c>
      <c r="Q32" s="10">
        <v>2</v>
      </c>
      <c r="R32" s="10">
        <v>1.5</v>
      </c>
    </row>
    <row r="33" spans="1:18" x14ac:dyDescent="0.5">
      <c r="A33" s="7">
        <v>32</v>
      </c>
      <c r="B33" s="8" t="s">
        <v>19</v>
      </c>
      <c r="C33" s="11">
        <v>1</v>
      </c>
      <c r="D33" s="11" t="str">
        <f t="shared" si="0"/>
        <v>POOL</v>
      </c>
      <c r="E33" s="11">
        <v>1</v>
      </c>
      <c r="F33" s="11" t="str">
        <f t="shared" si="1"/>
        <v>GARAGE</v>
      </c>
      <c r="G33" s="11">
        <v>3</v>
      </c>
      <c r="H33" s="17">
        <v>2</v>
      </c>
      <c r="I33" s="17" t="str" cm="1">
        <f t="array" ref="I33">_xlfn.IFS(H33=1,"LOW",H33=2,"MEDIUM",H33=3,"HIGH")</f>
        <v>MEDIUM</v>
      </c>
      <c r="J33" s="11" t="s">
        <v>14</v>
      </c>
      <c r="K33" s="28">
        <v>1</v>
      </c>
      <c r="L33" s="23">
        <v>226498</v>
      </c>
      <c r="M33" s="26">
        <v>2520</v>
      </c>
      <c r="N33" s="9">
        <v>28</v>
      </c>
      <c r="O33" s="9">
        <v>8</v>
      </c>
      <c r="P33" s="9">
        <v>763</v>
      </c>
      <c r="Q33" s="10">
        <v>4</v>
      </c>
      <c r="R33" s="10">
        <v>3</v>
      </c>
    </row>
    <row r="34" spans="1:18" x14ac:dyDescent="0.5">
      <c r="A34" s="7">
        <v>33</v>
      </c>
      <c r="B34" s="8" t="s">
        <v>16</v>
      </c>
      <c r="C34" s="11">
        <v>1</v>
      </c>
      <c r="D34" s="11" t="str">
        <f t="shared" si="0"/>
        <v>POOL</v>
      </c>
      <c r="E34" s="11">
        <v>1</v>
      </c>
      <c r="F34" s="11" t="str">
        <f t="shared" si="1"/>
        <v>GARAGE</v>
      </c>
      <c r="G34" s="11">
        <v>4</v>
      </c>
      <c r="H34" s="17">
        <v>2</v>
      </c>
      <c r="I34" s="17" t="str" cm="1">
        <f t="array" ref="I34">_xlfn.IFS(H34=1,"LOW",H34=2,"MEDIUM",H34=3,"HIGH")</f>
        <v>MEDIUM</v>
      </c>
      <c r="J34" s="11" t="s">
        <v>14</v>
      </c>
      <c r="K34" s="28">
        <v>1</v>
      </c>
      <c r="L34" s="23">
        <v>316827</v>
      </c>
      <c r="M34" s="26">
        <v>3150</v>
      </c>
      <c r="N34" s="9">
        <v>22</v>
      </c>
      <c r="O34" s="9">
        <v>2</v>
      </c>
      <c r="P34" s="9">
        <v>759</v>
      </c>
      <c r="Q34" s="10">
        <v>4</v>
      </c>
      <c r="R34" s="10">
        <v>3</v>
      </c>
    </row>
    <row r="35" spans="1:18" x14ac:dyDescent="0.5">
      <c r="A35" s="7">
        <v>34</v>
      </c>
      <c r="B35" s="8" t="s">
        <v>16</v>
      </c>
      <c r="C35" s="11">
        <v>1</v>
      </c>
      <c r="D35" s="11" t="str">
        <f t="shared" si="0"/>
        <v>POOL</v>
      </c>
      <c r="E35" s="11">
        <v>0</v>
      </c>
      <c r="F35" s="11" t="str">
        <f t="shared" si="1"/>
        <v>NO GARAGE</v>
      </c>
      <c r="G35" s="11">
        <v>2</v>
      </c>
      <c r="H35" s="17">
        <v>2</v>
      </c>
      <c r="I35" s="17" t="str" cm="1">
        <f t="array" ref="I35">_xlfn.IFS(H35=1,"LOW",H35=2,"MEDIUM",H35=3,"HIGH")</f>
        <v>MEDIUM</v>
      </c>
      <c r="J35" s="11" t="s">
        <v>14</v>
      </c>
      <c r="K35" s="28">
        <v>0</v>
      </c>
      <c r="L35" s="23">
        <v>189984</v>
      </c>
      <c r="M35" s="26">
        <v>1550</v>
      </c>
      <c r="N35" s="9">
        <v>22</v>
      </c>
      <c r="O35" s="9">
        <v>17</v>
      </c>
      <c r="P35" s="9">
        <v>758</v>
      </c>
      <c r="Q35" s="10">
        <v>2</v>
      </c>
      <c r="R35" s="10">
        <v>1.5</v>
      </c>
    </row>
    <row r="36" spans="1:18" x14ac:dyDescent="0.5">
      <c r="A36" s="7">
        <v>35</v>
      </c>
      <c r="B36" s="11" t="s">
        <v>13</v>
      </c>
      <c r="C36" s="11">
        <v>1</v>
      </c>
      <c r="D36" s="11" t="str">
        <f t="shared" si="0"/>
        <v>POOL</v>
      </c>
      <c r="E36" s="11">
        <v>1</v>
      </c>
      <c r="F36" s="11" t="str">
        <f t="shared" si="1"/>
        <v>GARAGE</v>
      </c>
      <c r="G36" s="11">
        <v>3</v>
      </c>
      <c r="H36" s="17">
        <v>3</v>
      </c>
      <c r="I36" s="17" t="str" cm="1">
        <f t="array" ref="I36">_xlfn.IFS(H36=1,"LOW",H36=2,"MEDIUM",H36=3,"HIGH")</f>
        <v>HIGH</v>
      </c>
      <c r="J36" s="11" t="s">
        <v>14</v>
      </c>
      <c r="K36" s="28">
        <v>1</v>
      </c>
      <c r="L36" s="23">
        <v>366350</v>
      </c>
      <c r="M36" s="26">
        <v>3090</v>
      </c>
      <c r="N36" s="9">
        <v>23</v>
      </c>
      <c r="O36" s="9">
        <v>5</v>
      </c>
      <c r="P36" s="9">
        <v>754</v>
      </c>
      <c r="Q36" s="10">
        <v>3</v>
      </c>
      <c r="R36" s="10">
        <v>2</v>
      </c>
    </row>
    <row r="37" spans="1:18" x14ac:dyDescent="0.5">
      <c r="A37" s="7">
        <v>36</v>
      </c>
      <c r="B37" s="11" t="s">
        <v>19</v>
      </c>
      <c r="C37" s="11">
        <v>0</v>
      </c>
      <c r="D37" s="11" t="str">
        <f t="shared" si="0"/>
        <v>NO POOL</v>
      </c>
      <c r="E37" s="11">
        <v>1</v>
      </c>
      <c r="F37" s="11" t="str">
        <f t="shared" si="1"/>
        <v>GARAGE</v>
      </c>
      <c r="G37" s="11">
        <v>4</v>
      </c>
      <c r="H37" s="17">
        <v>2</v>
      </c>
      <c r="I37" s="17" t="str" cm="1">
        <f t="array" ref="I37">_xlfn.IFS(H37=1,"LOW",H37=2,"MEDIUM",H37=3,"HIGH")</f>
        <v>MEDIUM</v>
      </c>
      <c r="J37" s="11" t="s">
        <v>14</v>
      </c>
      <c r="K37" s="28">
        <v>0</v>
      </c>
      <c r="L37" s="23">
        <v>416160</v>
      </c>
      <c r="M37" s="26">
        <v>4080</v>
      </c>
      <c r="N37" s="9">
        <v>25</v>
      </c>
      <c r="O37" s="9">
        <v>12</v>
      </c>
      <c r="P37" s="9">
        <v>753</v>
      </c>
      <c r="Q37" s="10">
        <v>4</v>
      </c>
      <c r="R37" s="10">
        <v>3</v>
      </c>
    </row>
    <row r="38" spans="1:18" x14ac:dyDescent="0.5">
      <c r="A38" s="7">
        <v>37</v>
      </c>
      <c r="B38" s="11" t="s">
        <v>19</v>
      </c>
      <c r="C38" s="11">
        <v>0</v>
      </c>
      <c r="D38" s="11" t="str">
        <f t="shared" si="0"/>
        <v>NO POOL</v>
      </c>
      <c r="E38" s="11">
        <v>1</v>
      </c>
      <c r="F38" s="11" t="str">
        <f t="shared" si="1"/>
        <v>GARAGE</v>
      </c>
      <c r="G38" s="11">
        <v>2</v>
      </c>
      <c r="H38" s="17">
        <v>2</v>
      </c>
      <c r="I38" s="17" t="str" cm="1">
        <f t="array" ref="I38">_xlfn.IFS(H38=1,"LOW",H38=2,"MEDIUM",H38=3,"HIGH")</f>
        <v>MEDIUM</v>
      </c>
      <c r="J38" s="11" t="s">
        <v>14</v>
      </c>
      <c r="K38" s="28">
        <v>0</v>
      </c>
      <c r="L38" s="23">
        <v>308000</v>
      </c>
      <c r="M38" s="26">
        <v>3500</v>
      </c>
      <c r="N38" s="9">
        <v>37</v>
      </c>
      <c r="O38" s="9">
        <v>18</v>
      </c>
      <c r="P38" s="9">
        <v>752</v>
      </c>
      <c r="Q38" s="10">
        <v>4</v>
      </c>
      <c r="R38" s="10">
        <v>3</v>
      </c>
    </row>
    <row r="39" spans="1:18" x14ac:dyDescent="0.5">
      <c r="A39" s="7">
        <v>38</v>
      </c>
      <c r="B39" s="8" t="s">
        <v>15</v>
      </c>
      <c r="C39" s="11">
        <v>1</v>
      </c>
      <c r="D39" s="11" t="str">
        <f t="shared" si="0"/>
        <v>POOL</v>
      </c>
      <c r="E39" s="11">
        <v>1</v>
      </c>
      <c r="F39" s="11" t="str">
        <f t="shared" si="1"/>
        <v>GARAGE</v>
      </c>
      <c r="G39" s="11">
        <v>4</v>
      </c>
      <c r="H39" s="17">
        <v>3</v>
      </c>
      <c r="I39" s="17" t="str" cm="1">
        <f t="array" ref="I39">_xlfn.IFS(H39=1,"LOW",H39=2,"MEDIUM",H39=3,"HIGH")</f>
        <v>HIGH</v>
      </c>
      <c r="J39" s="11" t="s">
        <v>14</v>
      </c>
      <c r="K39" s="28">
        <v>0</v>
      </c>
      <c r="L39" s="23">
        <v>294357</v>
      </c>
      <c r="M39" s="26">
        <v>2620</v>
      </c>
      <c r="N39" s="9">
        <v>15</v>
      </c>
      <c r="O39" s="9">
        <v>10</v>
      </c>
      <c r="P39" s="9">
        <v>751</v>
      </c>
      <c r="Q39" s="10">
        <v>4</v>
      </c>
      <c r="R39" s="10">
        <v>3</v>
      </c>
    </row>
    <row r="40" spans="1:18" x14ac:dyDescent="0.5">
      <c r="A40" s="7">
        <v>39</v>
      </c>
      <c r="B40" s="8" t="s">
        <v>16</v>
      </c>
      <c r="C40" s="11">
        <v>1</v>
      </c>
      <c r="D40" s="11" t="str">
        <f t="shared" si="0"/>
        <v>POOL</v>
      </c>
      <c r="E40" s="11">
        <v>1</v>
      </c>
      <c r="F40" s="11" t="str">
        <f t="shared" si="1"/>
        <v>GARAGE</v>
      </c>
      <c r="G40" s="11">
        <v>3</v>
      </c>
      <c r="H40" s="17">
        <v>2</v>
      </c>
      <c r="I40" s="17" t="str" cm="1">
        <f t="array" ref="I40">_xlfn.IFS(H40=1,"LOW",H40=2,"MEDIUM",H40=3,"HIGH")</f>
        <v>MEDIUM</v>
      </c>
      <c r="J40" s="11" t="s">
        <v>14</v>
      </c>
      <c r="K40" s="28">
        <v>0</v>
      </c>
      <c r="L40" s="23">
        <v>337144</v>
      </c>
      <c r="M40" s="26">
        <v>2790</v>
      </c>
      <c r="N40" s="9">
        <v>19</v>
      </c>
      <c r="O40" s="9">
        <v>15</v>
      </c>
      <c r="P40" s="9">
        <v>749</v>
      </c>
      <c r="Q40" s="10">
        <v>4</v>
      </c>
      <c r="R40" s="10">
        <v>3</v>
      </c>
    </row>
    <row r="41" spans="1:18" x14ac:dyDescent="0.5">
      <c r="A41" s="7">
        <v>40</v>
      </c>
      <c r="B41" s="8" t="s">
        <v>17</v>
      </c>
      <c r="C41" s="11">
        <v>0</v>
      </c>
      <c r="D41" s="11" t="str">
        <f t="shared" si="0"/>
        <v>NO POOL</v>
      </c>
      <c r="E41" s="11">
        <v>0</v>
      </c>
      <c r="F41" s="11" t="str">
        <f t="shared" si="1"/>
        <v>NO GARAGE</v>
      </c>
      <c r="G41" s="11">
        <v>2</v>
      </c>
      <c r="H41" s="17">
        <v>2</v>
      </c>
      <c r="I41" s="17" t="str" cm="1">
        <f t="array" ref="I41">_xlfn.IFS(H41=1,"LOW",H41=2,"MEDIUM",H41=3,"HIGH")</f>
        <v>MEDIUM</v>
      </c>
      <c r="J41" s="11" t="s">
        <v>14</v>
      </c>
      <c r="K41" s="28">
        <v>0</v>
      </c>
      <c r="L41" s="23">
        <v>299730</v>
      </c>
      <c r="M41" s="26">
        <v>2910</v>
      </c>
      <c r="N41" s="9">
        <v>31</v>
      </c>
      <c r="O41" s="9">
        <v>13</v>
      </c>
      <c r="P41" s="9">
        <v>748</v>
      </c>
      <c r="Q41" s="10">
        <v>3</v>
      </c>
      <c r="R41" s="10">
        <v>2</v>
      </c>
    </row>
    <row r="42" spans="1:18" x14ac:dyDescent="0.5">
      <c r="A42" s="7">
        <v>41</v>
      </c>
      <c r="B42" s="8" t="s">
        <v>15</v>
      </c>
      <c r="C42" s="11">
        <v>0</v>
      </c>
      <c r="D42" s="11" t="str">
        <f t="shared" si="0"/>
        <v>NO POOL</v>
      </c>
      <c r="E42" s="11">
        <v>1</v>
      </c>
      <c r="F42" s="11" t="str">
        <f t="shared" si="1"/>
        <v>GARAGE</v>
      </c>
      <c r="G42" s="11">
        <v>3</v>
      </c>
      <c r="H42" s="17">
        <v>3</v>
      </c>
      <c r="I42" s="17" t="str" cm="1">
        <f t="array" ref="I42">_xlfn.IFS(H42=1,"LOW",H42=2,"MEDIUM",H42=3,"HIGH")</f>
        <v>HIGH</v>
      </c>
      <c r="J42" s="11" t="s">
        <v>14</v>
      </c>
      <c r="K42" s="28">
        <v>0</v>
      </c>
      <c r="L42" s="23">
        <v>445740</v>
      </c>
      <c r="M42" s="26">
        <v>4370</v>
      </c>
      <c r="N42" s="9">
        <v>19</v>
      </c>
      <c r="O42" s="9">
        <v>5</v>
      </c>
      <c r="P42" s="9">
        <v>746</v>
      </c>
      <c r="Q42" s="10">
        <v>4</v>
      </c>
      <c r="R42" s="10">
        <v>3</v>
      </c>
    </row>
    <row r="43" spans="1:18" x14ac:dyDescent="0.5">
      <c r="A43" s="7">
        <v>42</v>
      </c>
      <c r="B43" s="8" t="s">
        <v>15</v>
      </c>
      <c r="C43" s="11">
        <v>1</v>
      </c>
      <c r="D43" s="11" t="str">
        <f t="shared" si="0"/>
        <v>POOL</v>
      </c>
      <c r="E43" s="11">
        <v>1</v>
      </c>
      <c r="F43" s="11" t="str">
        <f t="shared" si="1"/>
        <v>GARAGE</v>
      </c>
      <c r="G43" s="11">
        <v>1</v>
      </c>
      <c r="H43" s="17">
        <v>2</v>
      </c>
      <c r="I43" s="17" t="str" cm="1">
        <f t="array" ref="I43">_xlfn.IFS(H43=1,"LOW",H43=2,"MEDIUM",H43=3,"HIGH")</f>
        <v>MEDIUM</v>
      </c>
      <c r="J43" s="11" t="s">
        <v>18</v>
      </c>
      <c r="K43" s="28">
        <v>1</v>
      </c>
      <c r="L43" s="23">
        <v>410592</v>
      </c>
      <c r="M43" s="26">
        <v>4200</v>
      </c>
      <c r="N43" s="9">
        <v>27</v>
      </c>
      <c r="O43" s="9">
        <v>9</v>
      </c>
      <c r="P43" s="9">
        <v>741</v>
      </c>
      <c r="Q43" s="10">
        <v>4</v>
      </c>
      <c r="R43" s="10">
        <v>3</v>
      </c>
    </row>
    <row r="44" spans="1:18" x14ac:dyDescent="0.5">
      <c r="A44" s="7">
        <v>43</v>
      </c>
      <c r="B44" s="8" t="s">
        <v>17</v>
      </c>
      <c r="C44" s="11">
        <v>1</v>
      </c>
      <c r="D44" s="11" t="str">
        <f t="shared" si="0"/>
        <v>POOL</v>
      </c>
      <c r="E44" s="11">
        <v>1</v>
      </c>
      <c r="F44" s="11" t="str">
        <f t="shared" si="1"/>
        <v>GARAGE</v>
      </c>
      <c r="G44" s="11">
        <v>5</v>
      </c>
      <c r="H44" s="17">
        <v>2</v>
      </c>
      <c r="I44" s="17" t="str" cm="1">
        <f t="array" ref="I44">_xlfn.IFS(H44=1,"LOW",H44=2,"MEDIUM",H44=3,"HIGH")</f>
        <v>MEDIUM</v>
      </c>
      <c r="J44" s="11" t="s">
        <v>14</v>
      </c>
      <c r="K44" s="28">
        <v>0</v>
      </c>
      <c r="L44" s="23">
        <v>667732</v>
      </c>
      <c r="M44" s="26">
        <v>5570</v>
      </c>
      <c r="N44" s="9">
        <v>29</v>
      </c>
      <c r="O44" s="9">
        <v>4</v>
      </c>
      <c r="P44" s="9">
        <v>740</v>
      </c>
      <c r="Q44" s="10">
        <v>5</v>
      </c>
      <c r="R44" s="10">
        <v>3.5</v>
      </c>
    </row>
    <row r="45" spans="1:18" x14ac:dyDescent="0.5">
      <c r="A45" s="7">
        <v>44</v>
      </c>
      <c r="B45" s="8" t="s">
        <v>15</v>
      </c>
      <c r="C45" s="11">
        <v>1</v>
      </c>
      <c r="D45" s="11" t="str">
        <f t="shared" si="0"/>
        <v>POOL</v>
      </c>
      <c r="E45" s="11">
        <v>1</v>
      </c>
      <c r="F45" s="11" t="str">
        <f t="shared" si="1"/>
        <v>GARAGE</v>
      </c>
      <c r="G45" s="11">
        <v>5</v>
      </c>
      <c r="H45" s="17">
        <v>2</v>
      </c>
      <c r="I45" s="17" t="str" cm="1">
        <f t="array" ref="I45">_xlfn.IFS(H45=1,"LOW",H45=2,"MEDIUM",H45=3,"HIGH")</f>
        <v>MEDIUM</v>
      </c>
      <c r="J45" s="11" t="s">
        <v>18</v>
      </c>
      <c r="K45" s="28">
        <v>0</v>
      </c>
      <c r="L45" s="23">
        <v>523584</v>
      </c>
      <c r="M45" s="26">
        <v>5050</v>
      </c>
      <c r="N45" s="9">
        <v>19</v>
      </c>
      <c r="O45" s="9">
        <v>10</v>
      </c>
      <c r="P45" s="9">
        <v>739</v>
      </c>
      <c r="Q45" s="10">
        <v>6</v>
      </c>
      <c r="R45" s="10">
        <v>4</v>
      </c>
    </row>
    <row r="46" spans="1:18" x14ac:dyDescent="0.5">
      <c r="A46" s="7">
        <v>45</v>
      </c>
      <c r="B46" s="11" t="s">
        <v>13</v>
      </c>
      <c r="C46" s="11">
        <v>0</v>
      </c>
      <c r="D46" s="11" t="str">
        <f t="shared" si="0"/>
        <v>NO POOL</v>
      </c>
      <c r="E46" s="11">
        <v>0</v>
      </c>
      <c r="F46" s="11" t="str">
        <f t="shared" si="1"/>
        <v>NO GARAGE</v>
      </c>
      <c r="G46" s="11">
        <v>3</v>
      </c>
      <c r="H46" s="17">
        <v>2</v>
      </c>
      <c r="I46" s="17" t="str" cm="1">
        <f t="array" ref="I46">_xlfn.IFS(H46=1,"LOW",H46=2,"MEDIUM",H46=3,"HIGH")</f>
        <v>MEDIUM</v>
      </c>
      <c r="J46" s="11" t="s">
        <v>14</v>
      </c>
      <c r="K46" s="28">
        <v>0</v>
      </c>
      <c r="L46" s="23">
        <v>336000</v>
      </c>
      <c r="M46" s="26">
        <v>3360</v>
      </c>
      <c r="N46" s="9">
        <v>32</v>
      </c>
      <c r="O46" s="9">
        <v>6</v>
      </c>
      <c r="P46" s="9">
        <v>737</v>
      </c>
      <c r="Q46" s="10">
        <v>3</v>
      </c>
      <c r="R46" s="10">
        <v>2</v>
      </c>
    </row>
    <row r="47" spans="1:18" x14ac:dyDescent="0.5">
      <c r="A47" s="7">
        <v>46</v>
      </c>
      <c r="B47" s="8" t="s">
        <v>13</v>
      </c>
      <c r="C47" s="11">
        <v>1</v>
      </c>
      <c r="D47" s="11" t="str">
        <f t="shared" si="0"/>
        <v>POOL</v>
      </c>
      <c r="E47" s="11">
        <v>0</v>
      </c>
      <c r="F47" s="11" t="str">
        <f t="shared" si="1"/>
        <v>NO GARAGE</v>
      </c>
      <c r="G47" s="11">
        <v>1</v>
      </c>
      <c r="H47" s="17">
        <v>3</v>
      </c>
      <c r="I47" s="17" t="str" cm="1">
        <f t="array" ref="I47">_xlfn.IFS(H47=1,"LOW",H47=2,"MEDIUM",H47=3,"HIGH")</f>
        <v>HIGH</v>
      </c>
      <c r="J47" s="11" t="s">
        <v>14</v>
      </c>
      <c r="K47" s="28">
        <v>0</v>
      </c>
      <c r="L47" s="23">
        <v>202598</v>
      </c>
      <c r="M47" s="26">
        <v>2270</v>
      </c>
      <c r="N47" s="9">
        <v>28</v>
      </c>
      <c r="O47" s="9">
        <v>10</v>
      </c>
      <c r="P47" s="9">
        <v>737</v>
      </c>
      <c r="Q47" s="10">
        <v>3</v>
      </c>
      <c r="R47" s="10">
        <v>2</v>
      </c>
    </row>
    <row r="48" spans="1:18" x14ac:dyDescent="0.5">
      <c r="A48" s="7">
        <v>47</v>
      </c>
      <c r="B48" s="11" t="s">
        <v>13</v>
      </c>
      <c r="C48" s="11">
        <v>1</v>
      </c>
      <c r="D48" s="11" t="str">
        <f t="shared" si="0"/>
        <v>POOL</v>
      </c>
      <c r="E48" s="11">
        <v>0</v>
      </c>
      <c r="F48" s="11" t="str">
        <f t="shared" si="1"/>
        <v>NO GARAGE</v>
      </c>
      <c r="G48" s="11">
        <v>4</v>
      </c>
      <c r="H48" s="17">
        <v>1</v>
      </c>
      <c r="I48" s="17" t="str" cm="1">
        <f t="array" ref="I48">_xlfn.IFS(H48=1,"LOW",H48=2,"MEDIUM",H48=3,"HIGH")</f>
        <v>LOW</v>
      </c>
      <c r="J48" s="11" t="s">
        <v>14</v>
      </c>
      <c r="K48" s="28">
        <v>0</v>
      </c>
      <c r="L48" s="23">
        <v>326695</v>
      </c>
      <c r="M48" s="26">
        <v>2830</v>
      </c>
      <c r="N48" s="9">
        <v>30</v>
      </c>
      <c r="O48" s="9">
        <v>8</v>
      </c>
      <c r="P48" s="9">
        <v>736</v>
      </c>
      <c r="Q48" s="10">
        <v>3</v>
      </c>
      <c r="R48" s="10">
        <v>2.5</v>
      </c>
    </row>
    <row r="49" spans="1:18" x14ac:dyDescent="0.5">
      <c r="A49" s="7">
        <v>48</v>
      </c>
      <c r="B49" s="8" t="s">
        <v>15</v>
      </c>
      <c r="C49" s="11">
        <v>0</v>
      </c>
      <c r="D49" s="11" t="str">
        <f t="shared" si="0"/>
        <v>NO POOL</v>
      </c>
      <c r="E49" s="11">
        <v>1</v>
      </c>
      <c r="F49" s="11" t="str">
        <f t="shared" si="1"/>
        <v>GARAGE</v>
      </c>
      <c r="G49" s="11">
        <v>4</v>
      </c>
      <c r="H49" s="17">
        <v>2</v>
      </c>
      <c r="I49" s="17" t="str" cm="1">
        <f t="array" ref="I49">_xlfn.IFS(H49=1,"LOW",H49=2,"MEDIUM",H49=3,"HIGH")</f>
        <v>MEDIUM</v>
      </c>
      <c r="J49" s="11" t="s">
        <v>14</v>
      </c>
      <c r="K49" s="28">
        <v>0</v>
      </c>
      <c r="L49" s="23">
        <v>321320</v>
      </c>
      <c r="M49" s="26">
        <v>2770</v>
      </c>
      <c r="N49" s="9">
        <v>23</v>
      </c>
      <c r="O49" s="9">
        <v>6</v>
      </c>
      <c r="P49" s="9">
        <v>736</v>
      </c>
      <c r="Q49" s="10">
        <v>3</v>
      </c>
      <c r="R49" s="10">
        <v>2</v>
      </c>
    </row>
    <row r="50" spans="1:18" x14ac:dyDescent="0.5">
      <c r="A50" s="7">
        <v>49</v>
      </c>
      <c r="B50" s="8" t="s">
        <v>19</v>
      </c>
      <c r="C50" s="11">
        <v>0</v>
      </c>
      <c r="D50" s="11" t="str">
        <f t="shared" si="0"/>
        <v>NO POOL</v>
      </c>
      <c r="E50" s="11">
        <v>1</v>
      </c>
      <c r="F50" s="11" t="str">
        <f t="shared" si="1"/>
        <v>GARAGE</v>
      </c>
      <c r="G50" s="11">
        <v>5</v>
      </c>
      <c r="H50" s="17">
        <v>3</v>
      </c>
      <c r="I50" s="17" t="str" cm="1">
        <f t="array" ref="I50">_xlfn.IFS(H50=1,"LOW",H50=2,"MEDIUM",H50=3,"HIGH")</f>
        <v>HIGH</v>
      </c>
      <c r="J50" s="11" t="s">
        <v>14</v>
      </c>
      <c r="K50" s="28">
        <v>0</v>
      </c>
      <c r="L50" s="23">
        <v>246820</v>
      </c>
      <c r="M50" s="26">
        <v>2870</v>
      </c>
      <c r="N50" s="9">
        <v>27</v>
      </c>
      <c r="O50" s="9">
        <v>13</v>
      </c>
      <c r="P50" s="9">
        <v>735</v>
      </c>
      <c r="Q50" s="10">
        <v>4</v>
      </c>
      <c r="R50" s="10">
        <v>3</v>
      </c>
    </row>
    <row r="51" spans="1:18" x14ac:dyDescent="0.5">
      <c r="A51" s="7">
        <v>50</v>
      </c>
      <c r="B51" s="11" t="s">
        <v>19</v>
      </c>
      <c r="C51" s="11">
        <v>1</v>
      </c>
      <c r="D51" s="11" t="str">
        <f t="shared" si="0"/>
        <v>POOL</v>
      </c>
      <c r="E51" s="11">
        <v>1</v>
      </c>
      <c r="F51" s="11" t="str">
        <f t="shared" si="1"/>
        <v>GARAGE</v>
      </c>
      <c r="G51" s="11">
        <v>5</v>
      </c>
      <c r="H51" s="17">
        <v>2</v>
      </c>
      <c r="I51" s="17" t="str" cm="1">
        <f t="array" ref="I51">_xlfn.IFS(H51=1,"LOW",H51=2,"MEDIUM",H51=3,"HIGH")</f>
        <v>MEDIUM</v>
      </c>
      <c r="J51" s="11" t="s">
        <v>18</v>
      </c>
      <c r="K51" s="28">
        <v>0</v>
      </c>
      <c r="L51" s="23">
        <v>546084</v>
      </c>
      <c r="M51" s="26">
        <v>5910</v>
      </c>
      <c r="N51" s="9">
        <v>35</v>
      </c>
      <c r="O51" s="9">
        <v>10</v>
      </c>
      <c r="P51" s="9">
        <v>731</v>
      </c>
      <c r="Q51" s="10">
        <v>6</v>
      </c>
      <c r="R51" s="10">
        <v>4</v>
      </c>
    </row>
    <row r="52" spans="1:18" x14ac:dyDescent="0.5">
      <c r="A52" s="7">
        <v>51</v>
      </c>
      <c r="B52" s="8" t="s">
        <v>19</v>
      </c>
      <c r="C52" s="11">
        <v>1</v>
      </c>
      <c r="D52" s="11" t="str">
        <f t="shared" si="0"/>
        <v>POOL</v>
      </c>
      <c r="E52" s="11">
        <v>1</v>
      </c>
      <c r="F52" s="11" t="str">
        <f t="shared" si="1"/>
        <v>GARAGE</v>
      </c>
      <c r="G52" s="11">
        <v>4</v>
      </c>
      <c r="H52" s="17">
        <v>2</v>
      </c>
      <c r="I52" s="17" t="str" cm="1">
        <f t="array" ref="I52">_xlfn.IFS(H52=1,"LOW",H52=2,"MEDIUM",H52=3,"HIGH")</f>
        <v>MEDIUM</v>
      </c>
      <c r="J52" s="11" t="s">
        <v>14</v>
      </c>
      <c r="K52" s="28">
        <v>0</v>
      </c>
      <c r="L52" s="23">
        <v>793084</v>
      </c>
      <c r="M52" s="26">
        <v>6800</v>
      </c>
      <c r="N52" s="9">
        <v>27</v>
      </c>
      <c r="O52" s="9">
        <v>6</v>
      </c>
      <c r="P52" s="9">
        <v>729</v>
      </c>
      <c r="Q52" s="10">
        <v>8</v>
      </c>
      <c r="R52" s="10">
        <v>5.5</v>
      </c>
    </row>
    <row r="53" spans="1:18" x14ac:dyDescent="0.5">
      <c r="A53" s="7">
        <v>52</v>
      </c>
      <c r="B53" s="8" t="s">
        <v>19</v>
      </c>
      <c r="C53" s="11">
        <v>1</v>
      </c>
      <c r="D53" s="11" t="str">
        <f t="shared" si="0"/>
        <v>POOL</v>
      </c>
      <c r="E53" s="11">
        <v>0</v>
      </c>
      <c r="F53" s="11" t="str">
        <f t="shared" si="1"/>
        <v>NO GARAGE</v>
      </c>
      <c r="G53" s="11">
        <v>2</v>
      </c>
      <c r="H53" s="17">
        <v>2</v>
      </c>
      <c r="I53" s="17" t="str" cm="1">
        <f t="array" ref="I53">_xlfn.IFS(H53=1,"LOW",H53=2,"MEDIUM",H53=3,"HIGH")</f>
        <v>MEDIUM</v>
      </c>
      <c r="J53" s="11" t="s">
        <v>14</v>
      </c>
      <c r="K53" s="28">
        <v>0</v>
      </c>
      <c r="L53" s="23">
        <v>174528</v>
      </c>
      <c r="M53" s="26">
        <v>1600</v>
      </c>
      <c r="N53" s="9">
        <v>39</v>
      </c>
      <c r="O53" s="9">
        <v>15</v>
      </c>
      <c r="P53" s="9">
        <v>728</v>
      </c>
      <c r="Q53" s="10">
        <v>2</v>
      </c>
      <c r="R53" s="10">
        <v>1.5</v>
      </c>
    </row>
    <row r="54" spans="1:18" x14ac:dyDescent="0.5">
      <c r="A54" s="7">
        <v>53</v>
      </c>
      <c r="B54" s="8" t="s">
        <v>17</v>
      </c>
      <c r="C54" s="11">
        <v>1</v>
      </c>
      <c r="D54" s="11" t="str">
        <f t="shared" si="0"/>
        <v>POOL</v>
      </c>
      <c r="E54" s="11">
        <v>1</v>
      </c>
      <c r="F54" s="11" t="str">
        <f t="shared" si="1"/>
        <v>GARAGE</v>
      </c>
      <c r="G54" s="11">
        <v>4</v>
      </c>
      <c r="H54" s="17">
        <v>2</v>
      </c>
      <c r="I54" s="17" t="str" cm="1">
        <f t="array" ref="I54">_xlfn.IFS(H54=1,"LOW",H54=2,"MEDIUM",H54=3,"HIGH")</f>
        <v>MEDIUM</v>
      </c>
      <c r="J54" s="11" t="s">
        <v>14</v>
      </c>
      <c r="K54" s="28">
        <v>0</v>
      </c>
      <c r="L54" s="23">
        <v>392554</v>
      </c>
      <c r="M54" s="26">
        <v>3970</v>
      </c>
      <c r="N54" s="9">
        <v>30</v>
      </c>
      <c r="O54" s="9">
        <v>17</v>
      </c>
      <c r="P54" s="9">
        <v>726</v>
      </c>
      <c r="Q54" s="10">
        <v>4</v>
      </c>
      <c r="R54" s="10">
        <v>3</v>
      </c>
    </row>
    <row r="55" spans="1:18" x14ac:dyDescent="0.5">
      <c r="A55" s="7">
        <v>54</v>
      </c>
      <c r="B55" s="8" t="s">
        <v>17</v>
      </c>
      <c r="C55" s="11">
        <v>0</v>
      </c>
      <c r="D55" s="11" t="str">
        <f t="shared" si="0"/>
        <v>NO POOL</v>
      </c>
      <c r="E55" s="11">
        <v>1</v>
      </c>
      <c r="F55" s="11" t="str">
        <f t="shared" si="1"/>
        <v>GARAGE</v>
      </c>
      <c r="G55" s="11">
        <v>3</v>
      </c>
      <c r="H55" s="17">
        <v>2</v>
      </c>
      <c r="I55" s="17" t="str" cm="1">
        <f t="array" ref="I55">_xlfn.IFS(H55=1,"LOW",H55=2,"MEDIUM",H55=3,"HIGH")</f>
        <v>MEDIUM</v>
      </c>
      <c r="J55" s="11" t="s">
        <v>14</v>
      </c>
      <c r="K55" s="28">
        <v>0</v>
      </c>
      <c r="L55" s="23">
        <v>263160</v>
      </c>
      <c r="M55" s="26">
        <v>3060</v>
      </c>
      <c r="N55" s="9">
        <v>26</v>
      </c>
      <c r="O55" s="9">
        <v>10</v>
      </c>
      <c r="P55" s="9">
        <v>726</v>
      </c>
      <c r="Q55" s="10">
        <v>3</v>
      </c>
      <c r="R55" s="10">
        <v>2</v>
      </c>
    </row>
    <row r="56" spans="1:18" x14ac:dyDescent="0.5">
      <c r="A56" s="7">
        <v>55</v>
      </c>
      <c r="B56" s="8" t="s">
        <v>15</v>
      </c>
      <c r="C56" s="11">
        <v>1</v>
      </c>
      <c r="D56" s="11" t="str">
        <f t="shared" si="0"/>
        <v>POOL</v>
      </c>
      <c r="E56" s="11">
        <v>0</v>
      </c>
      <c r="F56" s="11" t="str">
        <f t="shared" si="1"/>
        <v>NO GARAGE</v>
      </c>
      <c r="G56" s="11">
        <v>3</v>
      </c>
      <c r="H56" s="17">
        <v>2</v>
      </c>
      <c r="I56" s="17" t="str" cm="1">
        <f t="array" ref="I56">_xlfn.IFS(H56=1,"LOW",H56=2,"MEDIUM",H56=3,"HIGH")</f>
        <v>MEDIUM</v>
      </c>
      <c r="J56" s="11" t="s">
        <v>14</v>
      </c>
      <c r="K56" s="28">
        <v>0</v>
      </c>
      <c r="L56" s="23">
        <v>237120</v>
      </c>
      <c r="M56" s="26">
        <v>1900</v>
      </c>
      <c r="N56" s="9">
        <v>14</v>
      </c>
      <c r="O56" s="9">
        <v>18</v>
      </c>
      <c r="P56" s="9">
        <v>723</v>
      </c>
      <c r="Q56" s="10">
        <v>2</v>
      </c>
      <c r="R56" s="10">
        <v>1.5</v>
      </c>
    </row>
    <row r="57" spans="1:18" x14ac:dyDescent="0.5">
      <c r="A57" s="7">
        <v>56</v>
      </c>
      <c r="B57" s="8" t="s">
        <v>16</v>
      </c>
      <c r="C57" s="11">
        <v>1</v>
      </c>
      <c r="D57" s="11" t="str">
        <f t="shared" si="0"/>
        <v>POOL</v>
      </c>
      <c r="E57" s="11">
        <v>1</v>
      </c>
      <c r="F57" s="11" t="str">
        <f t="shared" si="1"/>
        <v>GARAGE</v>
      </c>
      <c r="G57" s="11">
        <v>2</v>
      </c>
      <c r="H57" s="17">
        <v>2</v>
      </c>
      <c r="I57" s="17" t="str" cm="1">
        <f t="array" ref="I57">_xlfn.IFS(H57=1,"LOW",H57=2,"MEDIUM",H57=3,"HIGH")</f>
        <v>MEDIUM</v>
      </c>
      <c r="J57" s="11" t="s">
        <v>14</v>
      </c>
      <c r="K57" s="28">
        <v>0</v>
      </c>
      <c r="L57" s="23">
        <v>225750</v>
      </c>
      <c r="M57" s="26">
        <v>2150</v>
      </c>
      <c r="N57" s="9">
        <v>27</v>
      </c>
      <c r="O57" s="9">
        <v>15</v>
      </c>
      <c r="P57" s="9">
        <v>715</v>
      </c>
      <c r="Q57" s="10">
        <v>2</v>
      </c>
      <c r="R57" s="10">
        <v>1.5</v>
      </c>
    </row>
    <row r="58" spans="1:18" x14ac:dyDescent="0.5">
      <c r="A58" s="7">
        <v>57</v>
      </c>
      <c r="B58" s="11" t="s">
        <v>19</v>
      </c>
      <c r="C58" s="11">
        <v>0</v>
      </c>
      <c r="D58" s="11" t="str">
        <f t="shared" si="0"/>
        <v>NO POOL</v>
      </c>
      <c r="E58" s="11">
        <v>1</v>
      </c>
      <c r="F58" s="11" t="str">
        <f t="shared" si="1"/>
        <v>GARAGE</v>
      </c>
      <c r="G58" s="11">
        <v>1</v>
      </c>
      <c r="H58" s="17">
        <v>1</v>
      </c>
      <c r="I58" s="17" t="str" cm="1">
        <f t="array" ref="I58">_xlfn.IFS(H58=1,"LOW",H58=2,"MEDIUM",H58=3,"HIGH")</f>
        <v>LOW</v>
      </c>
      <c r="J58" s="11" t="s">
        <v>14</v>
      </c>
      <c r="K58" s="28">
        <v>0</v>
      </c>
      <c r="L58" s="23">
        <v>848420</v>
      </c>
      <c r="M58" s="26">
        <v>7190</v>
      </c>
      <c r="N58" s="9">
        <v>49</v>
      </c>
      <c r="O58" s="9">
        <v>5</v>
      </c>
      <c r="P58" s="9">
        <v>710</v>
      </c>
      <c r="Q58" s="10">
        <v>6</v>
      </c>
      <c r="R58" s="10">
        <v>4</v>
      </c>
    </row>
    <row r="59" spans="1:18" x14ac:dyDescent="0.5">
      <c r="A59" s="7">
        <v>58</v>
      </c>
      <c r="B59" s="8" t="s">
        <v>16</v>
      </c>
      <c r="C59" s="11">
        <v>1</v>
      </c>
      <c r="D59" s="11" t="str">
        <f t="shared" si="0"/>
        <v>POOL</v>
      </c>
      <c r="E59" s="11">
        <v>1</v>
      </c>
      <c r="F59" s="11" t="str">
        <f t="shared" si="1"/>
        <v>GARAGE</v>
      </c>
      <c r="G59" s="11">
        <v>5</v>
      </c>
      <c r="H59" s="17">
        <v>2</v>
      </c>
      <c r="I59" s="17" t="str" cm="1">
        <f t="array" ref="I59">_xlfn.IFS(H59=1,"LOW",H59=2,"MEDIUM",H59=3,"HIGH")</f>
        <v>MEDIUM</v>
      </c>
      <c r="J59" s="11" t="s">
        <v>14</v>
      </c>
      <c r="K59" s="28">
        <v>0</v>
      </c>
      <c r="L59" s="23">
        <v>371956</v>
      </c>
      <c r="M59" s="26">
        <v>3110</v>
      </c>
      <c r="N59" s="9">
        <v>29</v>
      </c>
      <c r="O59" s="9">
        <v>8</v>
      </c>
      <c r="P59" s="9">
        <v>710</v>
      </c>
      <c r="Q59" s="10">
        <v>5</v>
      </c>
      <c r="R59" s="10">
        <v>3.5</v>
      </c>
    </row>
    <row r="60" spans="1:18" x14ac:dyDescent="0.5">
      <c r="A60" s="7">
        <v>59</v>
      </c>
      <c r="B60" s="8" t="s">
        <v>16</v>
      </c>
      <c r="C60" s="11">
        <v>1</v>
      </c>
      <c r="D60" s="11" t="str">
        <f t="shared" si="0"/>
        <v>POOL</v>
      </c>
      <c r="E60" s="11">
        <v>1</v>
      </c>
      <c r="F60" s="11" t="str">
        <f t="shared" si="1"/>
        <v>GARAGE</v>
      </c>
      <c r="G60" s="11">
        <v>2</v>
      </c>
      <c r="H60" s="17">
        <v>2</v>
      </c>
      <c r="I60" s="17" t="str" cm="1">
        <f t="array" ref="I60">_xlfn.IFS(H60=1,"LOW",H60=2,"MEDIUM",H60=3,"HIGH")</f>
        <v>MEDIUM</v>
      </c>
      <c r="J60" s="11" t="s">
        <v>14</v>
      </c>
      <c r="K60" s="28">
        <v>0</v>
      </c>
      <c r="L60" s="23">
        <v>404538</v>
      </c>
      <c r="M60" s="26">
        <v>3290</v>
      </c>
      <c r="N60" s="9">
        <v>24</v>
      </c>
      <c r="O60" s="9">
        <v>14</v>
      </c>
      <c r="P60" s="9">
        <v>707</v>
      </c>
      <c r="Q60" s="10">
        <v>5</v>
      </c>
      <c r="R60" s="10">
        <v>3.5</v>
      </c>
    </row>
    <row r="61" spans="1:18" x14ac:dyDescent="0.5">
      <c r="A61" s="7">
        <v>60</v>
      </c>
      <c r="B61" s="8" t="s">
        <v>15</v>
      </c>
      <c r="C61" s="11">
        <v>0</v>
      </c>
      <c r="D61" s="11" t="str">
        <f t="shared" si="0"/>
        <v>NO POOL</v>
      </c>
      <c r="E61" s="11">
        <v>1</v>
      </c>
      <c r="F61" s="11" t="str">
        <f t="shared" si="1"/>
        <v>GARAGE</v>
      </c>
      <c r="G61" s="11">
        <v>5</v>
      </c>
      <c r="H61" s="17">
        <v>3</v>
      </c>
      <c r="I61" s="17" t="str" cm="1">
        <f t="array" ref="I61">_xlfn.IFS(H61=1,"LOW",H61=2,"MEDIUM",H61=3,"HIGH")</f>
        <v>HIGH</v>
      </c>
      <c r="J61" s="11" t="s">
        <v>14</v>
      </c>
      <c r="K61" s="28">
        <v>0</v>
      </c>
      <c r="L61" s="23">
        <v>250090</v>
      </c>
      <c r="M61" s="26">
        <v>2810</v>
      </c>
      <c r="N61" s="9">
        <v>18</v>
      </c>
      <c r="O61" s="9">
        <v>11</v>
      </c>
      <c r="P61" s="9">
        <v>704</v>
      </c>
      <c r="Q61" s="10">
        <v>4</v>
      </c>
      <c r="R61" s="10">
        <v>3</v>
      </c>
    </row>
    <row r="62" spans="1:18" x14ac:dyDescent="0.5">
      <c r="A62" s="7">
        <v>61</v>
      </c>
      <c r="B62" s="8" t="s">
        <v>17</v>
      </c>
      <c r="C62" s="11">
        <v>1</v>
      </c>
      <c r="D62" s="11" t="str">
        <f t="shared" si="0"/>
        <v>POOL</v>
      </c>
      <c r="E62" s="11">
        <v>1</v>
      </c>
      <c r="F62" s="11" t="str">
        <f t="shared" si="1"/>
        <v>GARAGE</v>
      </c>
      <c r="G62" s="11">
        <v>4</v>
      </c>
      <c r="H62" s="17">
        <v>2</v>
      </c>
      <c r="I62" s="17" t="str" cm="1">
        <f t="array" ref="I62">_xlfn.IFS(H62=1,"LOW",H62=2,"MEDIUM",H62=3,"HIGH")</f>
        <v>MEDIUM</v>
      </c>
      <c r="J62" s="11" t="s">
        <v>14</v>
      </c>
      <c r="K62" s="28">
        <v>0</v>
      </c>
      <c r="L62" s="23">
        <v>369978</v>
      </c>
      <c r="M62" s="26">
        <v>3830</v>
      </c>
      <c r="N62" s="9">
        <v>27</v>
      </c>
      <c r="O62" s="9">
        <v>10</v>
      </c>
      <c r="P62" s="9">
        <v>703</v>
      </c>
      <c r="Q62" s="10">
        <v>4</v>
      </c>
      <c r="R62" s="10">
        <v>2.5</v>
      </c>
    </row>
    <row r="63" spans="1:18" x14ac:dyDescent="0.5">
      <c r="A63" s="7">
        <v>62</v>
      </c>
      <c r="B63" s="8" t="s">
        <v>17</v>
      </c>
      <c r="C63" s="11">
        <v>1</v>
      </c>
      <c r="D63" s="11" t="str">
        <f t="shared" si="0"/>
        <v>POOL</v>
      </c>
      <c r="E63" s="11">
        <v>0</v>
      </c>
      <c r="F63" s="11" t="str">
        <f t="shared" si="1"/>
        <v>NO GARAGE</v>
      </c>
      <c r="G63" s="11">
        <v>3</v>
      </c>
      <c r="H63" s="17">
        <v>2</v>
      </c>
      <c r="I63" s="17" t="str" cm="1">
        <f t="array" ref="I63">_xlfn.IFS(H63=1,"LOW",H63=2,"MEDIUM",H63=3,"HIGH")</f>
        <v>MEDIUM</v>
      </c>
      <c r="J63" s="11" t="s">
        <v>14</v>
      </c>
      <c r="K63" s="28">
        <v>0</v>
      </c>
      <c r="L63" s="23">
        <v>209292</v>
      </c>
      <c r="M63" s="26">
        <v>1630</v>
      </c>
      <c r="N63" s="9">
        <v>18</v>
      </c>
      <c r="O63" s="9">
        <v>10</v>
      </c>
      <c r="P63" s="9">
        <v>701</v>
      </c>
      <c r="Q63" s="10">
        <v>2</v>
      </c>
      <c r="R63" s="10">
        <v>1.5</v>
      </c>
    </row>
    <row r="64" spans="1:18" x14ac:dyDescent="0.5">
      <c r="A64" s="7">
        <v>63</v>
      </c>
      <c r="B64" s="11" t="s">
        <v>19</v>
      </c>
      <c r="C64" s="11">
        <v>1</v>
      </c>
      <c r="D64" s="11" t="str">
        <f t="shared" si="0"/>
        <v>POOL</v>
      </c>
      <c r="E64" s="11">
        <v>1</v>
      </c>
      <c r="F64" s="11" t="str">
        <f t="shared" si="1"/>
        <v>GARAGE</v>
      </c>
      <c r="G64" s="11">
        <v>4</v>
      </c>
      <c r="H64" s="17">
        <v>2</v>
      </c>
      <c r="I64" s="17" t="str" cm="1">
        <f t="array" ref="I64">_xlfn.IFS(H64=1,"LOW",H64=2,"MEDIUM",H64=3,"HIGH")</f>
        <v>MEDIUM</v>
      </c>
      <c r="J64" s="11" t="s">
        <v>18</v>
      </c>
      <c r="K64" s="28">
        <v>0</v>
      </c>
      <c r="L64" s="23">
        <v>190032</v>
      </c>
      <c r="M64" s="26">
        <v>1850</v>
      </c>
      <c r="N64" s="9">
        <v>30</v>
      </c>
      <c r="O64" s="9">
        <v>2</v>
      </c>
      <c r="P64" s="9">
        <v>675</v>
      </c>
      <c r="Q64" s="10">
        <v>2</v>
      </c>
      <c r="R64" s="10">
        <v>1.5</v>
      </c>
    </row>
    <row r="65" spans="1:18" x14ac:dyDescent="0.5">
      <c r="A65" s="7">
        <v>64</v>
      </c>
      <c r="B65" s="11" t="s">
        <v>19</v>
      </c>
      <c r="C65" s="11">
        <v>0</v>
      </c>
      <c r="D65" s="11" t="str">
        <f t="shared" si="0"/>
        <v>NO POOL</v>
      </c>
      <c r="E65" s="11">
        <v>0</v>
      </c>
      <c r="F65" s="11" t="str">
        <f t="shared" si="1"/>
        <v>NO GARAGE</v>
      </c>
      <c r="G65" s="11">
        <v>4</v>
      </c>
      <c r="H65" s="17">
        <v>1</v>
      </c>
      <c r="I65" s="17" t="str" cm="1">
        <f t="array" ref="I65">_xlfn.IFS(H65=1,"LOW",H65=2,"MEDIUM",H65=3,"HIGH")</f>
        <v>LOW</v>
      </c>
      <c r="J65" s="11" t="s">
        <v>18</v>
      </c>
      <c r="K65" s="28">
        <v>1</v>
      </c>
      <c r="L65" s="23">
        <v>216720</v>
      </c>
      <c r="M65" s="26">
        <v>2520</v>
      </c>
      <c r="N65" s="9">
        <v>2</v>
      </c>
      <c r="O65" s="9">
        <v>5</v>
      </c>
      <c r="P65" s="9">
        <v>674</v>
      </c>
      <c r="Q65" s="10">
        <v>3</v>
      </c>
      <c r="R65" s="10">
        <v>2.5</v>
      </c>
    </row>
    <row r="66" spans="1:18" x14ac:dyDescent="0.5">
      <c r="A66" s="7">
        <v>65</v>
      </c>
      <c r="B66" s="11" t="s">
        <v>13</v>
      </c>
      <c r="C66" s="11">
        <v>1</v>
      </c>
      <c r="D66" s="11" t="str">
        <f t="shared" si="0"/>
        <v>POOL</v>
      </c>
      <c r="E66" s="11">
        <v>1</v>
      </c>
      <c r="F66" s="11" t="str">
        <f t="shared" si="1"/>
        <v>GARAGE</v>
      </c>
      <c r="G66" s="11">
        <v>4</v>
      </c>
      <c r="H66" s="17">
        <v>2</v>
      </c>
      <c r="I66" s="17" t="str" cm="1">
        <f t="array" ref="I66">_xlfn.IFS(H66=1,"LOW",H66=2,"MEDIUM",H66=3,"HIGH")</f>
        <v>MEDIUM</v>
      </c>
      <c r="J66" s="11" t="s">
        <v>18</v>
      </c>
      <c r="K66" s="28">
        <v>0</v>
      </c>
      <c r="L66" s="23">
        <v>323417</v>
      </c>
      <c r="M66" s="26">
        <v>3220</v>
      </c>
      <c r="N66" s="9">
        <v>22</v>
      </c>
      <c r="O66" s="9">
        <v>2</v>
      </c>
      <c r="P66" s="9">
        <v>673</v>
      </c>
      <c r="Q66" s="10">
        <v>4</v>
      </c>
      <c r="R66" s="10">
        <v>3</v>
      </c>
    </row>
    <row r="67" spans="1:18" x14ac:dyDescent="0.5">
      <c r="A67" s="7">
        <v>66</v>
      </c>
      <c r="B67" s="11" t="s">
        <v>19</v>
      </c>
      <c r="C67" s="11">
        <v>0</v>
      </c>
      <c r="D67" s="11" t="str">
        <f t="shared" ref="D67:D106" si="2">IF(C67=1,"POOL","NO POOL")</f>
        <v>NO POOL</v>
      </c>
      <c r="E67" s="11">
        <v>0</v>
      </c>
      <c r="F67" s="11" t="str">
        <f t="shared" ref="F67:F106" si="3">IF(E67=1,"GARAGE","NO GARAGE")</f>
        <v>NO GARAGE</v>
      </c>
      <c r="G67" s="11">
        <v>1</v>
      </c>
      <c r="H67" s="17">
        <v>2</v>
      </c>
      <c r="I67" s="17" t="str" cm="1">
        <f t="array" ref="I67">_xlfn.IFS(H67=1,"LOW",H67=2,"MEDIUM",H67=3,"HIGH")</f>
        <v>MEDIUM</v>
      </c>
      <c r="J67" s="11" t="s">
        <v>18</v>
      </c>
      <c r="K67" s="28">
        <v>0</v>
      </c>
      <c r="L67" s="23">
        <v>316210</v>
      </c>
      <c r="M67" s="26">
        <v>3070</v>
      </c>
      <c r="N67" s="9">
        <v>30</v>
      </c>
      <c r="O67" s="9">
        <v>1</v>
      </c>
      <c r="P67" s="9">
        <v>673</v>
      </c>
      <c r="Q67" s="10">
        <v>3</v>
      </c>
      <c r="R67" s="10">
        <v>2</v>
      </c>
    </row>
    <row r="68" spans="1:18" x14ac:dyDescent="0.5">
      <c r="A68" s="7">
        <v>67</v>
      </c>
      <c r="B68" s="8" t="s">
        <v>17</v>
      </c>
      <c r="C68" s="11">
        <v>1</v>
      </c>
      <c r="D68" s="11" t="str">
        <f t="shared" si="2"/>
        <v>POOL</v>
      </c>
      <c r="E68" s="11">
        <v>1</v>
      </c>
      <c r="F68" s="11" t="str">
        <f t="shared" si="3"/>
        <v>GARAGE</v>
      </c>
      <c r="G68" s="11">
        <v>1</v>
      </c>
      <c r="H68" s="17">
        <v>3</v>
      </c>
      <c r="I68" s="17" t="str" cm="1">
        <f t="array" ref="I68">_xlfn.IFS(H68=1,"LOW",H68=2,"MEDIUM",H68=3,"HIGH")</f>
        <v>HIGH</v>
      </c>
      <c r="J68" s="11" t="s">
        <v>18</v>
      </c>
      <c r="K68" s="28">
        <v>0</v>
      </c>
      <c r="L68" s="23">
        <v>226054</v>
      </c>
      <c r="M68" s="26">
        <v>2090</v>
      </c>
      <c r="N68" s="9">
        <v>28</v>
      </c>
      <c r="O68" s="9">
        <v>6</v>
      </c>
      <c r="P68" s="9">
        <v>670</v>
      </c>
      <c r="Q68" s="10">
        <v>2</v>
      </c>
      <c r="R68" s="10">
        <v>1.5</v>
      </c>
    </row>
    <row r="69" spans="1:18" x14ac:dyDescent="0.5">
      <c r="A69" s="7">
        <v>68</v>
      </c>
      <c r="B69" s="8" t="s">
        <v>13</v>
      </c>
      <c r="C69" s="11">
        <v>0</v>
      </c>
      <c r="D69" s="11" t="str">
        <f t="shared" si="2"/>
        <v>NO POOL</v>
      </c>
      <c r="E69" s="11">
        <v>0</v>
      </c>
      <c r="F69" s="11" t="str">
        <f t="shared" si="3"/>
        <v>NO GARAGE</v>
      </c>
      <c r="G69" s="11">
        <v>2</v>
      </c>
      <c r="H69" s="17">
        <v>2</v>
      </c>
      <c r="I69" s="17" t="str" cm="1">
        <f t="array" ref="I69">_xlfn.IFS(H69=1,"LOW",H69=2,"MEDIUM",H69=3,"HIGH")</f>
        <v>MEDIUM</v>
      </c>
      <c r="J69" s="11" t="s">
        <v>18</v>
      </c>
      <c r="K69" s="28">
        <v>1</v>
      </c>
      <c r="L69" s="23">
        <v>183920</v>
      </c>
      <c r="M69" s="26">
        <v>2090</v>
      </c>
      <c r="N69" s="9">
        <v>30</v>
      </c>
      <c r="O69" s="9">
        <v>8</v>
      </c>
      <c r="P69" s="9">
        <v>669</v>
      </c>
      <c r="Q69" s="10">
        <v>3</v>
      </c>
      <c r="R69" s="10">
        <v>2</v>
      </c>
    </row>
    <row r="70" spans="1:18" x14ac:dyDescent="0.5">
      <c r="A70" s="7">
        <v>69</v>
      </c>
      <c r="B70" s="8" t="s">
        <v>15</v>
      </c>
      <c r="C70" s="11">
        <v>1</v>
      </c>
      <c r="D70" s="11" t="str">
        <f t="shared" si="2"/>
        <v>POOL</v>
      </c>
      <c r="E70" s="11">
        <v>1</v>
      </c>
      <c r="F70" s="11" t="str">
        <f t="shared" si="3"/>
        <v>GARAGE</v>
      </c>
      <c r="G70" s="11">
        <v>2</v>
      </c>
      <c r="H70" s="17">
        <v>3</v>
      </c>
      <c r="I70" s="17" t="str" cm="1">
        <f t="array" ref="I70">_xlfn.IFS(H70=1,"LOW",H70=2,"MEDIUM",H70=3,"HIGH")</f>
        <v>HIGH</v>
      </c>
      <c r="J70" s="11" t="s">
        <v>18</v>
      </c>
      <c r="K70" s="28">
        <v>0</v>
      </c>
      <c r="L70" s="23">
        <v>248400</v>
      </c>
      <c r="M70" s="26">
        <v>2300</v>
      </c>
      <c r="N70" s="9">
        <v>50</v>
      </c>
      <c r="O70" s="9">
        <v>4</v>
      </c>
      <c r="P70" s="9">
        <v>667</v>
      </c>
      <c r="Q70" s="10">
        <v>3</v>
      </c>
      <c r="R70" s="10">
        <v>2.5</v>
      </c>
    </row>
    <row r="71" spans="1:18" x14ac:dyDescent="0.5">
      <c r="A71" s="7">
        <v>70</v>
      </c>
      <c r="B71" s="8" t="s">
        <v>19</v>
      </c>
      <c r="C71" s="11">
        <v>0</v>
      </c>
      <c r="D71" s="11" t="str">
        <f t="shared" si="2"/>
        <v>NO POOL</v>
      </c>
      <c r="E71" s="11">
        <v>1</v>
      </c>
      <c r="F71" s="11" t="str">
        <f t="shared" si="3"/>
        <v>GARAGE</v>
      </c>
      <c r="G71" s="11">
        <v>4</v>
      </c>
      <c r="H71" s="17">
        <v>1</v>
      </c>
      <c r="I71" s="17" t="str" cm="1">
        <f t="array" ref="I71">_xlfn.IFS(H71=1,"LOW",H71=2,"MEDIUM",H71=3,"HIGH")</f>
        <v>LOW</v>
      </c>
      <c r="J71" s="11" t="s">
        <v>18</v>
      </c>
      <c r="K71" s="28">
        <v>0</v>
      </c>
      <c r="L71" s="23">
        <v>466560</v>
      </c>
      <c r="M71" s="26">
        <v>5760</v>
      </c>
      <c r="N71" s="9">
        <v>42</v>
      </c>
      <c r="O71" s="9">
        <v>3</v>
      </c>
      <c r="P71" s="9">
        <v>665</v>
      </c>
      <c r="Q71" s="10">
        <v>5</v>
      </c>
      <c r="R71" s="10">
        <v>3.5</v>
      </c>
    </row>
    <row r="72" spans="1:18" x14ac:dyDescent="0.5">
      <c r="A72" s="7">
        <v>71</v>
      </c>
      <c r="B72" s="8" t="s">
        <v>15</v>
      </c>
      <c r="C72" s="11">
        <v>1</v>
      </c>
      <c r="D72" s="11" t="str">
        <f t="shared" si="2"/>
        <v>POOL</v>
      </c>
      <c r="E72" s="11">
        <v>1</v>
      </c>
      <c r="F72" s="11" t="str">
        <f t="shared" si="3"/>
        <v>GARAGE</v>
      </c>
      <c r="G72" s="11">
        <v>3</v>
      </c>
      <c r="H72" s="17">
        <v>2</v>
      </c>
      <c r="I72" s="17" t="str" cm="1">
        <f t="array" ref="I72">_xlfn.IFS(H72=1,"LOW",H72=2,"MEDIUM",H72=3,"HIGH")</f>
        <v>MEDIUM</v>
      </c>
      <c r="J72" s="11" t="s">
        <v>18</v>
      </c>
      <c r="K72" s="28">
        <v>1</v>
      </c>
      <c r="L72" s="23">
        <v>667212</v>
      </c>
      <c r="M72" s="26">
        <v>6110</v>
      </c>
      <c r="N72" s="9">
        <v>21</v>
      </c>
      <c r="O72" s="9">
        <v>8</v>
      </c>
      <c r="P72" s="9">
        <v>662</v>
      </c>
      <c r="Q72" s="10">
        <v>6</v>
      </c>
      <c r="R72" s="10">
        <v>4</v>
      </c>
    </row>
    <row r="73" spans="1:18" x14ac:dyDescent="0.5">
      <c r="A73" s="7">
        <v>72</v>
      </c>
      <c r="B73" s="8" t="s">
        <v>17</v>
      </c>
      <c r="C73" s="11">
        <v>0</v>
      </c>
      <c r="D73" s="11" t="str">
        <f t="shared" si="2"/>
        <v>NO POOL</v>
      </c>
      <c r="E73" s="11">
        <v>1</v>
      </c>
      <c r="F73" s="11" t="str">
        <f t="shared" si="3"/>
        <v>GARAGE</v>
      </c>
      <c r="G73" s="11">
        <v>1</v>
      </c>
      <c r="H73" s="17">
        <v>2</v>
      </c>
      <c r="I73" s="17" t="str" cm="1">
        <f t="array" ref="I73">_xlfn.IFS(H73=1,"LOW",H73=2,"MEDIUM",H73=3,"HIGH")</f>
        <v>MEDIUM</v>
      </c>
      <c r="J73" s="11" t="s">
        <v>18</v>
      </c>
      <c r="K73" s="28">
        <v>0</v>
      </c>
      <c r="L73" s="23">
        <v>362710</v>
      </c>
      <c r="M73" s="26">
        <v>4370</v>
      </c>
      <c r="N73" s="9">
        <v>24</v>
      </c>
      <c r="O73" s="9">
        <v>2</v>
      </c>
      <c r="P73" s="9">
        <v>656</v>
      </c>
      <c r="Q73" s="10">
        <v>4</v>
      </c>
      <c r="R73" s="10">
        <v>2.5</v>
      </c>
    </row>
    <row r="74" spans="1:18" x14ac:dyDescent="0.5">
      <c r="A74" s="7">
        <v>73</v>
      </c>
      <c r="B74" s="8" t="s">
        <v>15</v>
      </c>
      <c r="C74" s="11">
        <v>1</v>
      </c>
      <c r="D74" s="11" t="str">
        <f t="shared" si="2"/>
        <v>POOL</v>
      </c>
      <c r="E74" s="11">
        <v>1</v>
      </c>
      <c r="F74" s="11" t="str">
        <f t="shared" si="3"/>
        <v>GARAGE</v>
      </c>
      <c r="G74" s="11">
        <v>5</v>
      </c>
      <c r="H74" s="17">
        <v>2</v>
      </c>
      <c r="I74" s="17" t="str" cm="1">
        <f t="array" ref="I74">_xlfn.IFS(H74=1,"LOW",H74=2,"MEDIUM",H74=3,"HIGH")</f>
        <v>MEDIUM</v>
      </c>
      <c r="J74" s="11" t="s">
        <v>18</v>
      </c>
      <c r="K74" s="28">
        <v>0</v>
      </c>
      <c r="L74" s="23">
        <v>265440</v>
      </c>
      <c r="M74" s="26">
        <v>3160</v>
      </c>
      <c r="N74" s="9">
        <v>22</v>
      </c>
      <c r="O74" s="9">
        <v>3</v>
      </c>
      <c r="P74" s="9">
        <v>653</v>
      </c>
      <c r="Q74" s="10">
        <v>5</v>
      </c>
      <c r="R74" s="10">
        <v>3.5</v>
      </c>
    </row>
    <row r="75" spans="1:18" x14ac:dyDescent="0.5">
      <c r="A75" s="7">
        <v>74</v>
      </c>
      <c r="B75" s="8" t="s">
        <v>15</v>
      </c>
      <c r="C75" s="11">
        <v>1</v>
      </c>
      <c r="D75" s="11" t="str">
        <f t="shared" si="2"/>
        <v>POOL</v>
      </c>
      <c r="E75" s="11">
        <v>1</v>
      </c>
      <c r="F75" s="11" t="str">
        <f t="shared" si="3"/>
        <v>GARAGE</v>
      </c>
      <c r="G75" s="11">
        <v>3</v>
      </c>
      <c r="H75" s="17">
        <v>2</v>
      </c>
      <c r="I75" s="17" t="str" cm="1">
        <f t="array" ref="I75">_xlfn.IFS(H75=1,"LOW",H75=2,"MEDIUM",H75=3,"HIGH")</f>
        <v>MEDIUM</v>
      </c>
      <c r="J75" s="11" t="s">
        <v>18</v>
      </c>
      <c r="K75" s="28">
        <v>1</v>
      </c>
      <c r="L75" s="23">
        <v>706596</v>
      </c>
      <c r="M75" s="26">
        <v>6600</v>
      </c>
      <c r="N75" s="9">
        <v>40</v>
      </c>
      <c r="O75" s="9">
        <v>7</v>
      </c>
      <c r="P75" s="9">
        <v>652</v>
      </c>
      <c r="Q75" s="10">
        <v>7</v>
      </c>
      <c r="R75" s="10">
        <v>5</v>
      </c>
    </row>
    <row r="76" spans="1:18" x14ac:dyDescent="0.5">
      <c r="A76" s="7">
        <v>75</v>
      </c>
      <c r="B76" s="8" t="s">
        <v>13</v>
      </c>
      <c r="C76" s="11">
        <v>0</v>
      </c>
      <c r="D76" s="11" t="str">
        <f t="shared" si="2"/>
        <v>NO POOL</v>
      </c>
      <c r="E76" s="11">
        <v>0</v>
      </c>
      <c r="F76" s="11" t="str">
        <f t="shared" si="3"/>
        <v>NO GARAGE</v>
      </c>
      <c r="G76" s="11">
        <v>4</v>
      </c>
      <c r="H76" s="17">
        <v>3</v>
      </c>
      <c r="I76" s="17" t="str" cm="1">
        <f t="array" ref="I76">_xlfn.IFS(H76=1,"LOW",H76=2,"MEDIUM",H76=3,"HIGH")</f>
        <v>HIGH</v>
      </c>
      <c r="J76" s="11" t="s">
        <v>18</v>
      </c>
      <c r="K76" s="28">
        <v>1</v>
      </c>
      <c r="L76" s="23">
        <v>293700</v>
      </c>
      <c r="M76" s="26">
        <v>3300</v>
      </c>
      <c r="N76" s="9">
        <v>14</v>
      </c>
      <c r="O76" s="9">
        <v>7</v>
      </c>
      <c r="P76" s="9">
        <v>647</v>
      </c>
      <c r="Q76" s="10">
        <v>3</v>
      </c>
      <c r="R76" s="10">
        <v>2</v>
      </c>
    </row>
    <row r="77" spans="1:18" x14ac:dyDescent="0.5">
      <c r="A77" s="7">
        <v>76</v>
      </c>
      <c r="B77" s="8" t="s">
        <v>13</v>
      </c>
      <c r="C77" s="11">
        <v>1</v>
      </c>
      <c r="D77" s="11" t="str">
        <f t="shared" si="2"/>
        <v>POOL</v>
      </c>
      <c r="E77" s="11">
        <v>1</v>
      </c>
      <c r="F77" s="11" t="str">
        <f t="shared" si="3"/>
        <v>GARAGE</v>
      </c>
      <c r="G77" s="11">
        <v>3</v>
      </c>
      <c r="H77" s="17">
        <v>2</v>
      </c>
      <c r="I77" s="17" t="str" cm="1">
        <f t="array" ref="I77">_xlfn.IFS(H77=1,"LOW",H77=2,"MEDIUM",H77=3,"HIGH")</f>
        <v>MEDIUM</v>
      </c>
      <c r="J77" s="11" t="s">
        <v>18</v>
      </c>
      <c r="K77" s="28">
        <v>1</v>
      </c>
      <c r="L77" s="23">
        <v>199448</v>
      </c>
      <c r="M77" s="26">
        <v>2330</v>
      </c>
      <c r="N77" s="9">
        <v>25</v>
      </c>
      <c r="O77" s="9">
        <v>5</v>
      </c>
      <c r="P77" s="9">
        <v>644</v>
      </c>
      <c r="Q77" s="10">
        <v>2</v>
      </c>
      <c r="R77" s="10">
        <v>1.5</v>
      </c>
    </row>
    <row r="78" spans="1:18" x14ac:dyDescent="0.5">
      <c r="A78" s="7">
        <v>77</v>
      </c>
      <c r="B78" s="8" t="s">
        <v>16</v>
      </c>
      <c r="C78" s="11">
        <v>1</v>
      </c>
      <c r="D78" s="11" t="str">
        <f t="shared" si="2"/>
        <v>POOL</v>
      </c>
      <c r="E78" s="11">
        <v>1</v>
      </c>
      <c r="F78" s="11" t="str">
        <f t="shared" si="3"/>
        <v>GARAGE</v>
      </c>
      <c r="G78" s="11">
        <v>2</v>
      </c>
      <c r="H78" s="17">
        <v>2</v>
      </c>
      <c r="I78" s="17" t="str" cm="1">
        <f t="array" ref="I78">_xlfn.IFS(H78=1,"LOW",H78=2,"MEDIUM",H78=3,"HIGH")</f>
        <v>MEDIUM</v>
      </c>
      <c r="J78" s="11" t="s">
        <v>18</v>
      </c>
      <c r="K78" s="28">
        <v>0</v>
      </c>
      <c r="L78" s="23">
        <v>369533</v>
      </c>
      <c r="M78" s="26">
        <v>4230</v>
      </c>
      <c r="N78" s="9">
        <v>32</v>
      </c>
      <c r="O78" s="9">
        <v>2</v>
      </c>
      <c r="P78" s="9">
        <v>642</v>
      </c>
      <c r="Q78" s="10">
        <v>4</v>
      </c>
      <c r="R78" s="10">
        <v>3</v>
      </c>
    </row>
    <row r="79" spans="1:18" x14ac:dyDescent="0.5">
      <c r="A79" s="7">
        <v>78</v>
      </c>
      <c r="B79" s="8" t="s">
        <v>13</v>
      </c>
      <c r="C79" s="11">
        <v>1</v>
      </c>
      <c r="D79" s="11" t="str">
        <f t="shared" si="2"/>
        <v>POOL</v>
      </c>
      <c r="E79" s="11">
        <v>0</v>
      </c>
      <c r="F79" s="11" t="str">
        <f t="shared" si="3"/>
        <v>NO GARAGE</v>
      </c>
      <c r="G79" s="11">
        <v>2</v>
      </c>
      <c r="H79" s="17">
        <v>2</v>
      </c>
      <c r="I79" s="17" t="str" cm="1">
        <f t="array" ref="I79">_xlfn.IFS(H79=1,"LOW",H79=2,"MEDIUM",H79=3,"HIGH")</f>
        <v>MEDIUM</v>
      </c>
      <c r="J79" s="11" t="s">
        <v>18</v>
      </c>
      <c r="K79" s="28">
        <v>0</v>
      </c>
      <c r="L79" s="23">
        <v>230121</v>
      </c>
      <c r="M79" s="26">
        <v>2030</v>
      </c>
      <c r="N79" s="9">
        <v>21</v>
      </c>
      <c r="O79" s="9">
        <v>3</v>
      </c>
      <c r="P79" s="9">
        <v>639</v>
      </c>
      <c r="Q79" s="10">
        <v>2</v>
      </c>
      <c r="R79" s="10">
        <v>1.5</v>
      </c>
    </row>
    <row r="80" spans="1:18" x14ac:dyDescent="0.5">
      <c r="A80" s="7">
        <v>79</v>
      </c>
      <c r="B80" s="8" t="s">
        <v>13</v>
      </c>
      <c r="C80" s="11">
        <v>0</v>
      </c>
      <c r="D80" s="11" t="str">
        <f t="shared" si="2"/>
        <v>NO POOL</v>
      </c>
      <c r="E80" s="11">
        <v>0</v>
      </c>
      <c r="F80" s="11" t="str">
        <f t="shared" si="3"/>
        <v>NO GARAGE</v>
      </c>
      <c r="G80" s="11">
        <v>1</v>
      </c>
      <c r="H80" s="17">
        <v>2</v>
      </c>
      <c r="I80" s="17" t="str" cm="1">
        <f t="array" ref="I80">_xlfn.IFS(H80=1,"LOW",H80=2,"MEDIUM",H80=3,"HIGH")</f>
        <v>MEDIUM</v>
      </c>
      <c r="J80" s="11" t="s">
        <v>18</v>
      </c>
      <c r="K80" s="28">
        <v>1</v>
      </c>
      <c r="L80" s="23">
        <v>169000</v>
      </c>
      <c r="M80" s="26">
        <v>1690</v>
      </c>
      <c r="N80" s="9">
        <v>20</v>
      </c>
      <c r="O80" s="9">
        <v>7</v>
      </c>
      <c r="P80" s="9">
        <v>639</v>
      </c>
      <c r="Q80" s="10">
        <v>2</v>
      </c>
      <c r="R80" s="10">
        <v>1.5</v>
      </c>
    </row>
    <row r="81" spans="1:18" x14ac:dyDescent="0.5">
      <c r="A81" s="7">
        <v>80</v>
      </c>
      <c r="B81" s="8" t="s">
        <v>17</v>
      </c>
      <c r="C81" s="11">
        <v>1</v>
      </c>
      <c r="D81" s="11" t="str">
        <f t="shared" si="2"/>
        <v>POOL</v>
      </c>
      <c r="E81" s="11">
        <v>1</v>
      </c>
      <c r="F81" s="11" t="str">
        <f t="shared" si="3"/>
        <v>GARAGE</v>
      </c>
      <c r="G81" s="11">
        <v>4</v>
      </c>
      <c r="H81" s="17">
        <v>1</v>
      </c>
      <c r="I81" s="17" t="str" cm="1">
        <f t="array" ref="I81">_xlfn.IFS(H81=1,"LOW",H81=2,"MEDIUM",H81=3,"HIGH")</f>
        <v>LOW</v>
      </c>
      <c r="J81" s="11" t="s">
        <v>18</v>
      </c>
      <c r="K81" s="28">
        <v>1</v>
      </c>
      <c r="L81" s="23">
        <v>190291</v>
      </c>
      <c r="M81" s="26">
        <v>2040</v>
      </c>
      <c r="N81" s="9">
        <v>31</v>
      </c>
      <c r="O81" s="9">
        <v>6</v>
      </c>
      <c r="P81" s="9">
        <v>631</v>
      </c>
      <c r="Q81" s="10">
        <v>2</v>
      </c>
      <c r="R81" s="10">
        <v>1.5</v>
      </c>
    </row>
    <row r="82" spans="1:18" x14ac:dyDescent="0.5">
      <c r="A82" s="7">
        <v>81</v>
      </c>
      <c r="B82" s="8" t="s">
        <v>15</v>
      </c>
      <c r="C82" s="11">
        <v>1</v>
      </c>
      <c r="D82" s="11" t="str">
        <f t="shared" si="2"/>
        <v>POOL</v>
      </c>
      <c r="E82" s="11">
        <v>1</v>
      </c>
      <c r="F82" s="11" t="str">
        <f t="shared" si="3"/>
        <v>GARAGE</v>
      </c>
      <c r="G82" s="11">
        <v>3</v>
      </c>
      <c r="H82" s="17">
        <v>2</v>
      </c>
      <c r="I82" s="17" t="str" cm="1">
        <f t="array" ref="I82">_xlfn.IFS(H82=1,"LOW",H82=2,"MEDIUM",H82=3,"HIGH")</f>
        <v>MEDIUM</v>
      </c>
      <c r="J82" s="11" t="s">
        <v>18</v>
      </c>
      <c r="K82" s="28">
        <v>1</v>
      </c>
      <c r="L82" s="23">
        <v>393584</v>
      </c>
      <c r="M82" s="26">
        <v>4660</v>
      </c>
      <c r="N82" s="9">
        <v>34</v>
      </c>
      <c r="O82" s="9">
        <v>7</v>
      </c>
      <c r="P82" s="9">
        <v>630</v>
      </c>
      <c r="Q82" s="10">
        <v>4</v>
      </c>
      <c r="R82" s="10">
        <v>3</v>
      </c>
    </row>
    <row r="83" spans="1:18" x14ac:dyDescent="0.5">
      <c r="A83" s="7">
        <v>82</v>
      </c>
      <c r="B83" s="11" t="s">
        <v>13</v>
      </c>
      <c r="C83" s="11">
        <v>1</v>
      </c>
      <c r="D83" s="11" t="str">
        <f t="shared" si="2"/>
        <v>POOL</v>
      </c>
      <c r="E83" s="11">
        <v>1</v>
      </c>
      <c r="F83" s="11" t="str">
        <f t="shared" si="3"/>
        <v>GARAGE</v>
      </c>
      <c r="G83" s="11">
        <v>5</v>
      </c>
      <c r="H83" s="17">
        <v>1</v>
      </c>
      <c r="I83" s="17" t="str" cm="1">
        <f t="array" ref="I83">_xlfn.IFS(H83=1,"LOW",H83=2,"MEDIUM",H83=3,"HIGH")</f>
        <v>LOW</v>
      </c>
      <c r="J83" s="11" t="s">
        <v>18</v>
      </c>
      <c r="K83" s="28">
        <v>0</v>
      </c>
      <c r="L83" s="23">
        <v>363792</v>
      </c>
      <c r="M83" s="26">
        <v>2860</v>
      </c>
      <c r="N83" s="9">
        <v>48</v>
      </c>
      <c r="O83" s="9">
        <v>3</v>
      </c>
      <c r="P83" s="9">
        <v>626</v>
      </c>
      <c r="Q83" s="10">
        <v>3</v>
      </c>
      <c r="R83" s="10">
        <v>2.5</v>
      </c>
    </row>
    <row r="84" spans="1:18" x14ac:dyDescent="0.5">
      <c r="A84" s="7">
        <v>83</v>
      </c>
      <c r="B84" s="8" t="s">
        <v>16</v>
      </c>
      <c r="C84" s="11">
        <v>0</v>
      </c>
      <c r="D84" s="11" t="str">
        <f t="shared" si="2"/>
        <v>NO POOL</v>
      </c>
      <c r="E84" s="11">
        <v>1</v>
      </c>
      <c r="F84" s="11" t="str">
        <f t="shared" si="3"/>
        <v>GARAGE</v>
      </c>
      <c r="G84" s="11">
        <v>2</v>
      </c>
      <c r="H84" s="17">
        <v>2</v>
      </c>
      <c r="I84" s="17" t="str" cm="1">
        <f t="array" ref="I84">_xlfn.IFS(H84=1,"LOW",H84=2,"MEDIUM",H84=3,"HIGH")</f>
        <v>MEDIUM</v>
      </c>
      <c r="J84" s="11" t="s">
        <v>18</v>
      </c>
      <c r="K84" s="28">
        <v>1</v>
      </c>
      <c r="L84" s="23">
        <v>360960</v>
      </c>
      <c r="M84" s="26">
        <v>3840</v>
      </c>
      <c r="N84" s="9">
        <v>32</v>
      </c>
      <c r="O84" s="9">
        <v>5</v>
      </c>
      <c r="P84" s="9">
        <v>626</v>
      </c>
      <c r="Q84" s="10">
        <v>6</v>
      </c>
      <c r="R84" s="10">
        <v>4.5</v>
      </c>
    </row>
    <row r="85" spans="1:18" x14ac:dyDescent="0.5">
      <c r="A85" s="7">
        <v>84</v>
      </c>
      <c r="B85" s="8" t="s">
        <v>16</v>
      </c>
      <c r="C85" s="11">
        <v>1</v>
      </c>
      <c r="D85" s="11" t="str">
        <f t="shared" si="2"/>
        <v>POOL</v>
      </c>
      <c r="E85" s="11">
        <v>1</v>
      </c>
      <c r="F85" s="11" t="str">
        <f t="shared" si="3"/>
        <v>GARAGE</v>
      </c>
      <c r="G85" s="11">
        <v>1</v>
      </c>
      <c r="H85" s="17">
        <v>2</v>
      </c>
      <c r="I85" s="17" t="str" cm="1">
        <f t="array" ref="I85">_xlfn.IFS(H85=1,"LOW",H85=2,"MEDIUM",H85=3,"HIGH")</f>
        <v>MEDIUM</v>
      </c>
      <c r="J85" s="11" t="s">
        <v>18</v>
      </c>
      <c r="K85" s="28">
        <v>1</v>
      </c>
      <c r="L85" s="23">
        <v>310877</v>
      </c>
      <c r="M85" s="26">
        <v>3180</v>
      </c>
      <c r="N85" s="9">
        <v>40</v>
      </c>
      <c r="O85" s="9">
        <v>6</v>
      </c>
      <c r="P85" s="9">
        <v>624</v>
      </c>
      <c r="Q85" s="10">
        <v>3</v>
      </c>
      <c r="R85" s="10">
        <v>2</v>
      </c>
    </row>
    <row r="86" spans="1:18" x14ac:dyDescent="0.5">
      <c r="A86" s="7">
        <v>85</v>
      </c>
      <c r="B86" s="8" t="s">
        <v>17</v>
      </c>
      <c r="C86" s="11">
        <v>1</v>
      </c>
      <c r="D86" s="11" t="str">
        <f t="shared" si="2"/>
        <v>POOL</v>
      </c>
      <c r="E86" s="11">
        <v>1</v>
      </c>
      <c r="F86" s="11" t="str">
        <f t="shared" si="3"/>
        <v>GARAGE</v>
      </c>
      <c r="G86" s="11">
        <v>4</v>
      </c>
      <c r="H86" s="17">
        <v>2</v>
      </c>
      <c r="I86" s="17" t="str" cm="1">
        <f t="array" ref="I86">_xlfn.IFS(H86=1,"LOW",H86=2,"MEDIUM",H86=3,"HIGH")</f>
        <v>MEDIUM</v>
      </c>
      <c r="J86" s="11" t="s">
        <v>18</v>
      </c>
      <c r="K86" s="28">
        <v>0</v>
      </c>
      <c r="L86" s="23">
        <v>919480</v>
      </c>
      <c r="M86" s="26">
        <v>7670</v>
      </c>
      <c r="N86" s="9">
        <v>30</v>
      </c>
      <c r="O86" s="9">
        <v>1</v>
      </c>
      <c r="P86" s="9">
        <v>623</v>
      </c>
      <c r="Q86" s="10">
        <v>8</v>
      </c>
      <c r="R86" s="10">
        <v>5.5</v>
      </c>
    </row>
    <row r="87" spans="1:18" x14ac:dyDescent="0.5">
      <c r="A87" s="7">
        <v>86</v>
      </c>
      <c r="B87" s="8" t="s">
        <v>16</v>
      </c>
      <c r="C87" s="11">
        <v>1</v>
      </c>
      <c r="D87" s="11" t="str">
        <f t="shared" si="2"/>
        <v>POOL</v>
      </c>
      <c r="E87" s="11">
        <v>0</v>
      </c>
      <c r="F87" s="11" t="str">
        <f t="shared" si="3"/>
        <v>NO GARAGE</v>
      </c>
      <c r="G87" s="11">
        <v>2</v>
      </c>
      <c r="H87" s="17">
        <v>2</v>
      </c>
      <c r="I87" s="17" t="str" cm="1">
        <f t="array" ref="I87">_xlfn.IFS(H87=1,"LOW",H87=2,"MEDIUM",H87=3,"HIGH")</f>
        <v>MEDIUM</v>
      </c>
      <c r="J87" s="11" t="s">
        <v>18</v>
      </c>
      <c r="K87" s="28">
        <v>1</v>
      </c>
      <c r="L87" s="23">
        <v>392904</v>
      </c>
      <c r="M87" s="26">
        <v>3400</v>
      </c>
      <c r="N87" s="9">
        <v>40</v>
      </c>
      <c r="O87" s="9">
        <v>8</v>
      </c>
      <c r="P87" s="9">
        <v>618</v>
      </c>
      <c r="Q87" s="10">
        <v>3</v>
      </c>
      <c r="R87" s="10">
        <v>2</v>
      </c>
    </row>
    <row r="88" spans="1:18" x14ac:dyDescent="0.5">
      <c r="A88" s="7">
        <v>87</v>
      </c>
      <c r="B88" s="8" t="s">
        <v>16</v>
      </c>
      <c r="C88" s="11">
        <v>1</v>
      </c>
      <c r="D88" s="11" t="str">
        <f t="shared" si="2"/>
        <v>POOL</v>
      </c>
      <c r="E88" s="11">
        <v>1</v>
      </c>
      <c r="F88" s="11" t="str">
        <f t="shared" si="3"/>
        <v>GARAGE</v>
      </c>
      <c r="G88" s="11">
        <v>4</v>
      </c>
      <c r="H88" s="17">
        <v>2</v>
      </c>
      <c r="I88" s="17" t="str" cm="1">
        <f t="array" ref="I88">_xlfn.IFS(H88=1,"LOW",H88=2,"MEDIUM",H88=3,"HIGH")</f>
        <v>MEDIUM</v>
      </c>
      <c r="J88" s="11" t="s">
        <v>18</v>
      </c>
      <c r="K88" s="28">
        <v>1</v>
      </c>
      <c r="L88" s="23">
        <v>200928</v>
      </c>
      <c r="M88" s="26">
        <v>1840</v>
      </c>
      <c r="N88" s="9">
        <v>36</v>
      </c>
      <c r="O88" s="9">
        <v>3</v>
      </c>
      <c r="P88" s="9">
        <v>618</v>
      </c>
      <c r="Q88" s="10">
        <v>2</v>
      </c>
      <c r="R88" s="10">
        <v>1.5</v>
      </c>
    </row>
    <row r="89" spans="1:18" x14ac:dyDescent="0.5">
      <c r="A89" s="7">
        <v>88</v>
      </c>
      <c r="B89" s="8" t="s">
        <v>16</v>
      </c>
      <c r="C89" s="11">
        <v>0</v>
      </c>
      <c r="D89" s="11" t="str">
        <f t="shared" si="2"/>
        <v>NO POOL</v>
      </c>
      <c r="E89" s="11">
        <v>1</v>
      </c>
      <c r="F89" s="11" t="str">
        <f t="shared" si="3"/>
        <v>GARAGE</v>
      </c>
      <c r="G89" s="11">
        <v>1</v>
      </c>
      <c r="H89" s="17">
        <v>2</v>
      </c>
      <c r="I89" s="17" t="str" cm="1">
        <f t="array" ref="I89">_xlfn.IFS(H89=1,"LOW",H89=2,"MEDIUM",H89=3,"HIGH")</f>
        <v>MEDIUM</v>
      </c>
      <c r="J89" s="11" t="s">
        <v>18</v>
      </c>
      <c r="K89" s="28">
        <v>0</v>
      </c>
      <c r="L89" s="23">
        <v>537900</v>
      </c>
      <c r="M89" s="26">
        <v>4890</v>
      </c>
      <c r="N89" s="9">
        <v>23</v>
      </c>
      <c r="O89" s="9">
        <v>7</v>
      </c>
      <c r="P89" s="9">
        <v>614</v>
      </c>
      <c r="Q89" s="10">
        <v>6</v>
      </c>
      <c r="R89" s="10">
        <v>4</v>
      </c>
    </row>
    <row r="90" spans="1:18" x14ac:dyDescent="0.5">
      <c r="A90" s="7">
        <v>89</v>
      </c>
      <c r="B90" s="8" t="s">
        <v>15</v>
      </c>
      <c r="C90" s="11">
        <v>0</v>
      </c>
      <c r="D90" s="11" t="str">
        <f t="shared" si="2"/>
        <v>NO POOL</v>
      </c>
      <c r="E90" s="11">
        <v>1</v>
      </c>
      <c r="F90" s="11" t="str">
        <f t="shared" si="3"/>
        <v>GARAGE</v>
      </c>
      <c r="G90" s="11">
        <v>1</v>
      </c>
      <c r="H90" s="17">
        <v>2</v>
      </c>
      <c r="I90" s="17" t="str" cm="1">
        <f t="array" ref="I90">_xlfn.IFS(H90=1,"LOW",H90=2,"MEDIUM",H90=3,"HIGH")</f>
        <v>MEDIUM</v>
      </c>
      <c r="J90" s="11" t="s">
        <v>18</v>
      </c>
      <c r="K90" s="28">
        <v>1</v>
      </c>
      <c r="L90" s="23">
        <v>258120</v>
      </c>
      <c r="M90" s="26">
        <v>2390</v>
      </c>
      <c r="N90" s="9">
        <v>23</v>
      </c>
      <c r="O90" s="9">
        <v>6</v>
      </c>
      <c r="P90" s="9">
        <v>614</v>
      </c>
      <c r="Q90" s="10">
        <v>3</v>
      </c>
      <c r="R90" s="10">
        <v>2.5</v>
      </c>
    </row>
    <row r="91" spans="1:18" x14ac:dyDescent="0.5">
      <c r="A91" s="7">
        <v>90</v>
      </c>
      <c r="B91" s="8" t="s">
        <v>16</v>
      </c>
      <c r="C91" s="11">
        <v>1</v>
      </c>
      <c r="D91" s="11" t="str">
        <f t="shared" si="2"/>
        <v>POOL</v>
      </c>
      <c r="E91" s="11">
        <v>1</v>
      </c>
      <c r="F91" s="11" t="str">
        <f t="shared" si="3"/>
        <v>GARAGE</v>
      </c>
      <c r="G91" s="11">
        <v>3</v>
      </c>
      <c r="H91" s="17">
        <v>2</v>
      </c>
      <c r="I91" s="17" t="str" cm="1">
        <f t="array" ref="I91">_xlfn.IFS(H91=1,"LOW",H91=2,"MEDIUM",H91=3,"HIGH")</f>
        <v>MEDIUM</v>
      </c>
      <c r="J91" s="11" t="s">
        <v>18</v>
      </c>
      <c r="K91" s="28">
        <v>0</v>
      </c>
      <c r="L91" s="23">
        <v>558342</v>
      </c>
      <c r="M91" s="26">
        <v>6160</v>
      </c>
      <c r="N91" s="9">
        <v>24</v>
      </c>
      <c r="O91" s="9">
        <v>7</v>
      </c>
      <c r="P91" s="9">
        <v>613</v>
      </c>
      <c r="Q91" s="10">
        <v>6</v>
      </c>
      <c r="R91" s="10">
        <v>4</v>
      </c>
    </row>
    <row r="92" spans="1:18" x14ac:dyDescent="0.5">
      <c r="A92" s="7">
        <v>91</v>
      </c>
      <c r="B92" s="8" t="s">
        <v>13</v>
      </c>
      <c r="C92" s="11">
        <v>0</v>
      </c>
      <c r="D92" s="11" t="str">
        <f t="shared" si="2"/>
        <v>NO POOL</v>
      </c>
      <c r="E92" s="11">
        <v>1</v>
      </c>
      <c r="F92" s="11" t="str">
        <f t="shared" si="3"/>
        <v>GARAGE</v>
      </c>
      <c r="G92" s="11">
        <v>3</v>
      </c>
      <c r="H92" s="17">
        <v>2</v>
      </c>
      <c r="I92" s="17" t="str" cm="1">
        <f t="array" ref="I92">_xlfn.IFS(H92=1,"LOW",H92=2,"MEDIUM",H92=3,"HIGH")</f>
        <v>MEDIUM</v>
      </c>
      <c r="J92" s="11" t="s">
        <v>18</v>
      </c>
      <c r="K92" s="28">
        <v>1</v>
      </c>
      <c r="L92" s="23">
        <v>302720</v>
      </c>
      <c r="M92" s="26">
        <v>3440</v>
      </c>
      <c r="N92" s="9">
        <v>38</v>
      </c>
      <c r="O92" s="9">
        <v>3</v>
      </c>
      <c r="P92" s="9">
        <v>609</v>
      </c>
      <c r="Q92" s="10">
        <v>4</v>
      </c>
      <c r="R92" s="10">
        <v>2.5</v>
      </c>
    </row>
    <row r="93" spans="1:18" x14ac:dyDescent="0.5">
      <c r="A93" s="7">
        <v>92</v>
      </c>
      <c r="B93" s="8" t="s">
        <v>19</v>
      </c>
      <c r="C93" s="11">
        <v>1</v>
      </c>
      <c r="D93" s="11" t="str">
        <f t="shared" si="2"/>
        <v>POOL</v>
      </c>
      <c r="E93" s="11">
        <v>0</v>
      </c>
      <c r="F93" s="11" t="str">
        <f t="shared" si="3"/>
        <v>NO GARAGE</v>
      </c>
      <c r="G93" s="11">
        <v>5</v>
      </c>
      <c r="H93" s="17">
        <v>3</v>
      </c>
      <c r="I93" s="17" t="str" cm="1">
        <f t="array" ref="I93">_xlfn.IFS(H93=1,"LOW",H93=2,"MEDIUM",H93=3,"HIGH")</f>
        <v>HIGH</v>
      </c>
      <c r="J93" s="11" t="s">
        <v>18</v>
      </c>
      <c r="K93" s="28">
        <v>0</v>
      </c>
      <c r="L93" s="23">
        <v>240115</v>
      </c>
      <c r="M93" s="26">
        <v>2220</v>
      </c>
      <c r="N93" s="9">
        <v>39</v>
      </c>
      <c r="O93" s="9">
        <v>1</v>
      </c>
      <c r="P93" s="9">
        <v>609</v>
      </c>
      <c r="Q93" s="10">
        <v>2</v>
      </c>
      <c r="R93" s="10">
        <v>1.5</v>
      </c>
    </row>
    <row r="94" spans="1:18" x14ac:dyDescent="0.5">
      <c r="A94" s="7">
        <v>93</v>
      </c>
      <c r="B94" s="8" t="s">
        <v>16</v>
      </c>
      <c r="C94" s="11">
        <v>1</v>
      </c>
      <c r="D94" s="11" t="str">
        <f t="shared" si="2"/>
        <v>POOL</v>
      </c>
      <c r="E94" s="11">
        <v>1</v>
      </c>
      <c r="F94" s="11" t="str">
        <f t="shared" si="3"/>
        <v>GARAGE</v>
      </c>
      <c r="G94" s="11">
        <v>4</v>
      </c>
      <c r="H94" s="17">
        <v>2</v>
      </c>
      <c r="I94" s="17" t="str" cm="1">
        <f t="array" ref="I94">_xlfn.IFS(H94=1,"LOW",H94=2,"MEDIUM",H94=3,"HIGH")</f>
        <v>MEDIUM</v>
      </c>
      <c r="J94" s="11" t="s">
        <v>18</v>
      </c>
      <c r="K94" s="28">
        <v>1</v>
      </c>
      <c r="L94" s="23">
        <v>793656</v>
      </c>
      <c r="M94" s="26">
        <v>6530</v>
      </c>
      <c r="N94" s="9">
        <v>53</v>
      </c>
      <c r="O94" s="9">
        <v>3</v>
      </c>
      <c r="P94" s="9">
        <v>605</v>
      </c>
      <c r="Q94" s="10">
        <v>7</v>
      </c>
      <c r="R94" s="10">
        <v>5</v>
      </c>
    </row>
    <row r="95" spans="1:18" x14ac:dyDescent="0.5">
      <c r="A95" s="7">
        <v>94</v>
      </c>
      <c r="B95" s="8" t="s">
        <v>17</v>
      </c>
      <c r="C95" s="11">
        <v>1</v>
      </c>
      <c r="D95" s="11" t="str">
        <f t="shared" si="2"/>
        <v>POOL</v>
      </c>
      <c r="E95" s="11">
        <v>0</v>
      </c>
      <c r="F95" s="11" t="str">
        <f t="shared" si="3"/>
        <v>NO GARAGE</v>
      </c>
      <c r="G95" s="11">
        <v>4</v>
      </c>
      <c r="H95" s="17">
        <v>2</v>
      </c>
      <c r="I95" s="17" t="str" cm="1">
        <f t="array" ref="I95">_xlfn.IFS(H95=1,"LOW",H95=2,"MEDIUM",H95=3,"HIGH")</f>
        <v>MEDIUM</v>
      </c>
      <c r="J95" s="11" t="s">
        <v>18</v>
      </c>
      <c r="K95" s="28">
        <v>0</v>
      </c>
      <c r="L95" s="23">
        <v>218862</v>
      </c>
      <c r="M95" s="26">
        <v>1930</v>
      </c>
      <c r="N95" s="9">
        <v>58</v>
      </c>
      <c r="O95" s="9">
        <v>1</v>
      </c>
      <c r="P95" s="9">
        <v>604</v>
      </c>
      <c r="Q95" s="10">
        <v>2</v>
      </c>
      <c r="R95" s="10">
        <v>1.5</v>
      </c>
    </row>
    <row r="96" spans="1:18" x14ac:dyDescent="0.5">
      <c r="A96" s="7">
        <v>95</v>
      </c>
      <c r="B96" s="8" t="s">
        <v>17</v>
      </c>
      <c r="C96" s="11">
        <v>1</v>
      </c>
      <c r="D96" s="11" t="str">
        <f t="shared" si="2"/>
        <v>POOL</v>
      </c>
      <c r="E96" s="11">
        <v>1</v>
      </c>
      <c r="F96" s="11" t="str">
        <f t="shared" si="3"/>
        <v>GARAGE</v>
      </c>
      <c r="G96" s="11">
        <v>2</v>
      </c>
      <c r="H96" s="17">
        <v>1</v>
      </c>
      <c r="I96" s="17" t="str" cm="1">
        <f t="array" ref="I96">_xlfn.IFS(H96=1,"LOW",H96=2,"MEDIUM",H96=3,"HIGH")</f>
        <v>LOW</v>
      </c>
      <c r="J96" s="11" t="s">
        <v>18</v>
      </c>
      <c r="K96" s="28">
        <v>1</v>
      </c>
      <c r="L96" s="23">
        <v>383081</v>
      </c>
      <c r="M96" s="26">
        <v>3510</v>
      </c>
      <c r="N96" s="9">
        <v>27</v>
      </c>
      <c r="O96" s="9">
        <v>6</v>
      </c>
      <c r="P96" s="9">
        <v>601</v>
      </c>
      <c r="Q96" s="10">
        <v>3</v>
      </c>
      <c r="R96" s="10">
        <v>2</v>
      </c>
    </row>
    <row r="97" spans="1:18" x14ac:dyDescent="0.5">
      <c r="A97" s="7">
        <v>96</v>
      </c>
      <c r="B97" s="11" t="s">
        <v>13</v>
      </c>
      <c r="C97" s="11">
        <v>0</v>
      </c>
      <c r="D97" s="11" t="str">
        <f t="shared" si="2"/>
        <v>NO POOL</v>
      </c>
      <c r="E97" s="11">
        <v>1</v>
      </c>
      <c r="F97" s="11" t="str">
        <f t="shared" si="3"/>
        <v>GARAGE</v>
      </c>
      <c r="G97" s="11">
        <v>2</v>
      </c>
      <c r="H97" s="17">
        <v>2</v>
      </c>
      <c r="I97" s="17" t="str" cm="1">
        <f t="array" ref="I97">_xlfn.IFS(H97=1,"LOW",H97=2,"MEDIUM",H97=3,"HIGH")</f>
        <v>MEDIUM</v>
      </c>
      <c r="J97" s="11" t="s">
        <v>18</v>
      </c>
      <c r="K97" s="28">
        <v>1</v>
      </c>
      <c r="L97" s="23">
        <v>351520</v>
      </c>
      <c r="M97" s="26">
        <v>3380</v>
      </c>
      <c r="N97" s="9">
        <v>35</v>
      </c>
      <c r="O97" s="9">
        <v>8</v>
      </c>
      <c r="P97" s="9">
        <v>599</v>
      </c>
      <c r="Q97" s="10">
        <v>3</v>
      </c>
      <c r="R97" s="10">
        <v>2</v>
      </c>
    </row>
    <row r="98" spans="1:18" x14ac:dyDescent="0.5">
      <c r="A98" s="7">
        <v>97</v>
      </c>
      <c r="B98" s="8" t="s">
        <v>17</v>
      </c>
      <c r="C98" s="11">
        <v>1</v>
      </c>
      <c r="D98" s="11" t="str">
        <f t="shared" si="2"/>
        <v>POOL</v>
      </c>
      <c r="E98" s="11">
        <v>1</v>
      </c>
      <c r="F98" s="11" t="str">
        <f t="shared" si="3"/>
        <v>GARAGE</v>
      </c>
      <c r="G98" s="11">
        <v>4</v>
      </c>
      <c r="H98" s="17">
        <v>2</v>
      </c>
      <c r="I98" s="17" t="str" cm="1">
        <f t="array" ref="I98">_xlfn.IFS(H98=1,"LOW",H98=2,"MEDIUM",H98=3,"HIGH")</f>
        <v>MEDIUM</v>
      </c>
      <c r="J98" s="11" t="s">
        <v>18</v>
      </c>
      <c r="K98" s="28">
        <v>1</v>
      </c>
      <c r="L98" s="23">
        <v>841491</v>
      </c>
      <c r="M98" s="26">
        <v>7030</v>
      </c>
      <c r="N98" s="9">
        <v>50</v>
      </c>
      <c r="O98" s="9">
        <v>8</v>
      </c>
      <c r="P98" s="9">
        <v>596</v>
      </c>
      <c r="Q98" s="10">
        <v>6</v>
      </c>
      <c r="R98" s="10">
        <v>4</v>
      </c>
    </row>
    <row r="99" spans="1:18" x14ac:dyDescent="0.5">
      <c r="A99" s="7">
        <v>98</v>
      </c>
      <c r="B99" s="11" t="s">
        <v>13</v>
      </c>
      <c r="C99" s="11">
        <v>0</v>
      </c>
      <c r="D99" s="11" t="str">
        <f t="shared" si="2"/>
        <v>NO POOL</v>
      </c>
      <c r="E99" s="11">
        <v>0</v>
      </c>
      <c r="F99" s="11" t="str">
        <f t="shared" si="3"/>
        <v>NO GARAGE</v>
      </c>
      <c r="G99" s="11">
        <v>1</v>
      </c>
      <c r="H99" s="17">
        <v>3</v>
      </c>
      <c r="I99" s="17" t="str" cm="1">
        <f t="array" ref="I99">_xlfn.IFS(H99=1,"LOW",H99=2,"MEDIUM",H99=3,"HIGH")</f>
        <v>HIGH</v>
      </c>
      <c r="J99" s="11" t="s">
        <v>18</v>
      </c>
      <c r="K99" s="28">
        <v>1</v>
      </c>
      <c r="L99" s="23">
        <v>336300</v>
      </c>
      <c r="M99" s="26">
        <v>2850</v>
      </c>
      <c r="N99" s="9">
        <v>28</v>
      </c>
      <c r="O99" s="9">
        <v>6</v>
      </c>
      <c r="P99" s="9">
        <v>595</v>
      </c>
      <c r="Q99" s="10">
        <v>3</v>
      </c>
      <c r="R99" s="10">
        <v>2.5</v>
      </c>
    </row>
    <row r="100" spans="1:18" x14ac:dyDescent="0.5">
      <c r="A100" s="7">
        <v>99</v>
      </c>
      <c r="B100" s="8" t="s">
        <v>19</v>
      </c>
      <c r="C100" s="11">
        <v>1</v>
      </c>
      <c r="D100" s="11" t="str">
        <f t="shared" si="2"/>
        <v>POOL</v>
      </c>
      <c r="E100" s="11">
        <v>1</v>
      </c>
      <c r="F100" s="11" t="str">
        <f t="shared" si="3"/>
        <v>GARAGE</v>
      </c>
      <c r="G100" s="11">
        <v>4</v>
      </c>
      <c r="H100" s="17">
        <v>2</v>
      </c>
      <c r="I100" s="17" t="str" cm="1">
        <f t="array" ref="I100">_xlfn.IFS(H100=1,"LOW",H100=2,"MEDIUM",H100=3,"HIGH")</f>
        <v>MEDIUM</v>
      </c>
      <c r="J100" s="11" t="s">
        <v>18</v>
      </c>
      <c r="K100" s="28">
        <v>0</v>
      </c>
      <c r="L100" s="23">
        <v>312863</v>
      </c>
      <c r="M100" s="26">
        <v>3750</v>
      </c>
      <c r="N100" s="9">
        <v>12</v>
      </c>
      <c r="O100" s="9">
        <v>2</v>
      </c>
      <c r="P100" s="9">
        <v>595</v>
      </c>
      <c r="Q100" s="10">
        <v>6</v>
      </c>
      <c r="R100" s="10">
        <v>4</v>
      </c>
    </row>
    <row r="101" spans="1:18" x14ac:dyDescent="0.5">
      <c r="A101" s="7">
        <v>100</v>
      </c>
      <c r="B101" s="8" t="s">
        <v>16</v>
      </c>
      <c r="C101" s="11">
        <v>1</v>
      </c>
      <c r="D101" s="11" t="str">
        <f t="shared" si="2"/>
        <v>POOL</v>
      </c>
      <c r="E101" s="11">
        <v>1</v>
      </c>
      <c r="F101" s="11" t="str">
        <f t="shared" si="3"/>
        <v>GARAGE</v>
      </c>
      <c r="G101" s="11">
        <v>3</v>
      </c>
      <c r="H101" s="17">
        <v>2</v>
      </c>
      <c r="I101" s="17" t="str" cm="1">
        <f t="array" ref="I101">_xlfn.IFS(H101=1,"LOW",H101=2,"MEDIUM",H101=3,"HIGH")</f>
        <v>MEDIUM</v>
      </c>
      <c r="J101" s="11" t="s">
        <v>18</v>
      </c>
      <c r="K101" s="28">
        <v>0</v>
      </c>
      <c r="L101" s="23">
        <v>275033</v>
      </c>
      <c r="M101" s="26">
        <v>3060</v>
      </c>
      <c r="N101" s="9">
        <v>27</v>
      </c>
      <c r="O101" s="9">
        <v>3</v>
      </c>
      <c r="P101" s="9">
        <v>593</v>
      </c>
      <c r="Q101" s="10">
        <v>3</v>
      </c>
      <c r="R101" s="10">
        <v>2</v>
      </c>
    </row>
    <row r="102" spans="1:18" x14ac:dyDescent="0.5">
      <c r="A102" s="7">
        <v>101</v>
      </c>
      <c r="B102" s="8" t="s">
        <v>17</v>
      </c>
      <c r="C102" s="11">
        <v>0</v>
      </c>
      <c r="D102" s="11" t="str">
        <f t="shared" si="2"/>
        <v>NO POOL</v>
      </c>
      <c r="E102" s="11">
        <v>0</v>
      </c>
      <c r="F102" s="11" t="str">
        <f t="shared" si="3"/>
        <v>NO GARAGE</v>
      </c>
      <c r="G102" s="11">
        <v>3</v>
      </c>
      <c r="H102" s="17">
        <v>2</v>
      </c>
      <c r="I102" s="17" t="str" cm="1">
        <f t="array" ref="I102">_xlfn.IFS(H102=1,"LOW",H102=2,"MEDIUM",H102=3,"HIGH")</f>
        <v>MEDIUM</v>
      </c>
      <c r="J102" s="11" t="s">
        <v>18</v>
      </c>
      <c r="K102" s="28">
        <v>1</v>
      </c>
      <c r="L102" s="23">
        <v>229990</v>
      </c>
      <c r="M102" s="26">
        <v>2110</v>
      </c>
      <c r="N102" s="9">
        <v>37</v>
      </c>
      <c r="O102" s="9">
        <v>6</v>
      </c>
      <c r="P102" s="9">
        <v>591</v>
      </c>
      <c r="Q102" s="10">
        <v>2</v>
      </c>
      <c r="R102" s="10">
        <v>1.5</v>
      </c>
    </row>
    <row r="103" spans="1:18" x14ac:dyDescent="0.5">
      <c r="A103" s="7">
        <v>102</v>
      </c>
      <c r="B103" s="11" t="s">
        <v>19</v>
      </c>
      <c r="C103" s="11">
        <v>1</v>
      </c>
      <c r="D103" s="11" t="str">
        <f t="shared" si="2"/>
        <v>POOL</v>
      </c>
      <c r="E103" s="11">
        <v>0</v>
      </c>
      <c r="F103" s="11" t="str">
        <f t="shared" si="3"/>
        <v>NO GARAGE</v>
      </c>
      <c r="G103" s="11">
        <v>5</v>
      </c>
      <c r="H103" s="17">
        <v>2</v>
      </c>
      <c r="I103" s="17" t="str" cm="1">
        <f t="array" ref="I103">_xlfn.IFS(H103=1,"LOW",H103=2,"MEDIUM",H103=3,"HIGH")</f>
        <v>MEDIUM</v>
      </c>
      <c r="J103" s="11" t="s">
        <v>18</v>
      </c>
      <c r="K103" s="28">
        <v>1</v>
      </c>
      <c r="L103" s="23">
        <v>195257</v>
      </c>
      <c r="M103" s="26">
        <v>2130</v>
      </c>
      <c r="N103" s="9">
        <v>11</v>
      </c>
      <c r="O103" s="9">
        <v>8</v>
      </c>
      <c r="P103" s="9">
        <v>591</v>
      </c>
      <c r="Q103" s="10">
        <v>2</v>
      </c>
      <c r="R103" s="10">
        <v>1.5</v>
      </c>
    </row>
    <row r="104" spans="1:18" x14ac:dyDescent="0.5">
      <c r="A104" s="7">
        <v>103</v>
      </c>
      <c r="B104" s="8" t="s">
        <v>13</v>
      </c>
      <c r="C104" s="11">
        <v>1</v>
      </c>
      <c r="D104" s="11" t="str">
        <f t="shared" si="2"/>
        <v>POOL</v>
      </c>
      <c r="E104" s="11">
        <v>1</v>
      </c>
      <c r="F104" s="11" t="str">
        <f t="shared" si="3"/>
        <v>GARAGE</v>
      </c>
      <c r="G104" s="11">
        <v>2</v>
      </c>
      <c r="H104" s="17">
        <v>3</v>
      </c>
      <c r="I104" s="17" t="str" cm="1">
        <f t="array" ref="I104">_xlfn.IFS(H104=1,"LOW",H104=2,"MEDIUM",H104=3,"HIGH")</f>
        <v>HIGH</v>
      </c>
      <c r="J104" s="11" t="s">
        <v>18</v>
      </c>
      <c r="K104" s="28">
        <v>1</v>
      </c>
      <c r="L104" s="23">
        <v>194238</v>
      </c>
      <c r="M104" s="26">
        <v>1650</v>
      </c>
      <c r="N104" s="9">
        <v>30</v>
      </c>
      <c r="O104" s="9">
        <v>7</v>
      </c>
      <c r="P104" s="9">
        <v>590</v>
      </c>
      <c r="Q104" s="10">
        <v>2</v>
      </c>
      <c r="R104" s="10">
        <v>1.5</v>
      </c>
    </row>
    <row r="105" spans="1:18" x14ac:dyDescent="0.5">
      <c r="A105" s="7">
        <v>104</v>
      </c>
      <c r="B105" s="8" t="s">
        <v>17</v>
      </c>
      <c r="C105" s="11">
        <v>1</v>
      </c>
      <c r="D105" s="11" t="str">
        <f t="shared" si="2"/>
        <v>POOL</v>
      </c>
      <c r="E105" s="11">
        <v>1</v>
      </c>
      <c r="F105" s="11" t="str">
        <f t="shared" si="3"/>
        <v>GARAGE</v>
      </c>
      <c r="G105" s="11">
        <v>5</v>
      </c>
      <c r="H105" s="17">
        <v>3</v>
      </c>
      <c r="I105" s="17" t="str" cm="1">
        <f t="array" ref="I105">_xlfn.IFS(H105=1,"LOW",H105=2,"MEDIUM",H105=3,"HIGH")</f>
        <v>HIGH</v>
      </c>
      <c r="J105" s="11" t="s">
        <v>18</v>
      </c>
      <c r="K105" s="28">
        <v>1</v>
      </c>
      <c r="L105" s="23">
        <v>348528</v>
      </c>
      <c r="M105" s="26">
        <v>2740</v>
      </c>
      <c r="N105" s="9">
        <v>27</v>
      </c>
      <c r="O105" s="9">
        <v>3</v>
      </c>
      <c r="P105" s="9">
        <v>584</v>
      </c>
      <c r="Q105" s="10">
        <v>4</v>
      </c>
      <c r="R105" s="10">
        <v>3</v>
      </c>
    </row>
    <row r="106" spans="1:18" x14ac:dyDescent="0.5">
      <c r="A106" s="7">
        <v>105</v>
      </c>
      <c r="B106" s="8" t="s">
        <v>17</v>
      </c>
      <c r="C106" s="11">
        <v>0</v>
      </c>
      <c r="D106" s="11" t="str">
        <f t="shared" si="2"/>
        <v>NO POOL</v>
      </c>
      <c r="E106" s="11">
        <v>1</v>
      </c>
      <c r="F106" s="11" t="str">
        <f t="shared" si="3"/>
        <v>GARAGE</v>
      </c>
      <c r="G106" s="11">
        <v>5</v>
      </c>
      <c r="H106" s="17">
        <v>1</v>
      </c>
      <c r="I106" s="17" t="str" cm="1">
        <f t="array" ref="I106">_xlfn.IFS(H106=1,"LOW",H106=2,"MEDIUM",H106=3,"HIGH")</f>
        <v>LOW</v>
      </c>
      <c r="J106" s="11" t="s">
        <v>18</v>
      </c>
      <c r="K106" s="28">
        <v>1</v>
      </c>
      <c r="L106" s="23">
        <v>241920</v>
      </c>
      <c r="M106" s="26">
        <v>2240</v>
      </c>
      <c r="N106" s="9">
        <v>34</v>
      </c>
      <c r="O106" s="9">
        <v>8</v>
      </c>
      <c r="P106" s="9">
        <v>583</v>
      </c>
      <c r="Q106" s="10">
        <v>2</v>
      </c>
      <c r="R106" s="10">
        <v>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88043-C951-47C9-A89A-5C6470E8AF79}">
  <dimension ref="A3:B15"/>
  <sheetViews>
    <sheetView topLeftCell="A2" workbookViewId="0">
      <selection activeCell="A8" sqref="A8"/>
    </sheetView>
  </sheetViews>
  <sheetFormatPr defaultRowHeight="18" x14ac:dyDescent="0.5"/>
  <cols>
    <col min="1" max="1" width="13.46484375" bestFit="1" customWidth="1"/>
    <col min="2" max="2" width="12.6640625" bestFit="1" customWidth="1"/>
  </cols>
  <sheetData>
    <row r="3" spans="1:2" x14ac:dyDescent="0.5">
      <c r="A3" s="40" t="s">
        <v>44</v>
      </c>
      <c r="B3" t="s">
        <v>48</v>
      </c>
    </row>
    <row r="4" spans="1:2" x14ac:dyDescent="0.5">
      <c r="A4" s="49" t="s">
        <v>65</v>
      </c>
      <c r="B4" s="42">
        <v>19</v>
      </c>
    </row>
    <row r="5" spans="1:2" x14ac:dyDescent="0.5">
      <c r="A5" s="49" t="s">
        <v>66</v>
      </c>
      <c r="B5" s="42">
        <v>24</v>
      </c>
    </row>
    <row r="6" spans="1:2" x14ac:dyDescent="0.5">
      <c r="A6" s="49" t="s">
        <v>67</v>
      </c>
      <c r="B6" s="42">
        <v>27</v>
      </c>
    </row>
    <row r="7" spans="1:2" x14ac:dyDescent="0.5">
      <c r="A7" s="49" t="s">
        <v>68</v>
      </c>
      <c r="B7" s="42">
        <v>15</v>
      </c>
    </row>
    <row r="8" spans="1:2" x14ac:dyDescent="0.5">
      <c r="A8" s="49" t="s">
        <v>69</v>
      </c>
      <c r="B8" s="42">
        <v>7</v>
      </c>
    </row>
    <row r="9" spans="1:2" x14ac:dyDescent="0.5">
      <c r="A9" s="49" t="s">
        <v>70</v>
      </c>
      <c r="B9" s="42">
        <v>4</v>
      </c>
    </row>
    <row r="10" spans="1:2" x14ac:dyDescent="0.5">
      <c r="A10" s="49" t="s">
        <v>71</v>
      </c>
      <c r="B10" s="42">
        <v>2</v>
      </c>
    </row>
    <row r="11" spans="1:2" x14ac:dyDescent="0.5">
      <c r="A11" s="49" t="s">
        <v>72</v>
      </c>
      <c r="B11" s="42">
        <v>2</v>
      </c>
    </row>
    <row r="12" spans="1:2" x14ac:dyDescent="0.5">
      <c r="A12" s="49" t="s">
        <v>73</v>
      </c>
      <c r="B12" s="42">
        <v>2</v>
      </c>
    </row>
    <row r="13" spans="1:2" x14ac:dyDescent="0.5">
      <c r="A13" s="49" t="s">
        <v>74</v>
      </c>
      <c r="B13" s="42">
        <v>2</v>
      </c>
    </row>
    <row r="14" spans="1:2" x14ac:dyDescent="0.5">
      <c r="A14" s="49" t="s">
        <v>75</v>
      </c>
      <c r="B14" s="42">
        <v>1</v>
      </c>
    </row>
    <row r="15" spans="1:2" x14ac:dyDescent="0.5">
      <c r="A15" s="49" t="s">
        <v>47</v>
      </c>
      <c r="B15" s="42">
        <v>105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C953D-8EB8-454E-B925-D4BFEC5C5A42}">
  <dimension ref="A1:N15"/>
  <sheetViews>
    <sheetView zoomScale="70" zoomScaleNormal="70" workbookViewId="0">
      <selection activeCell="C21" sqref="C21"/>
    </sheetView>
  </sheetViews>
  <sheetFormatPr defaultRowHeight="18" x14ac:dyDescent="0.5"/>
  <cols>
    <col min="1" max="1" width="15.06640625" bestFit="1" customWidth="1"/>
    <col min="2" max="2" width="11.73046875" bestFit="1" customWidth="1"/>
    <col min="3" max="3" width="15.06640625" bestFit="1" customWidth="1"/>
    <col min="4" max="4" width="11.73046875" bestFit="1" customWidth="1"/>
    <col min="5" max="5" width="15.59765625" bestFit="1" customWidth="1"/>
    <col min="6" max="6" width="11.73046875" bestFit="1" customWidth="1"/>
    <col min="7" max="7" width="15.59765625" bestFit="1" customWidth="1"/>
    <col min="8" max="8" width="12.3984375" bestFit="1" customWidth="1"/>
    <col min="9" max="9" width="15.59765625" bestFit="1" customWidth="1"/>
    <col min="10" max="10" width="12.3984375" bestFit="1" customWidth="1"/>
    <col min="11" max="11" width="15.59765625" bestFit="1" customWidth="1"/>
    <col min="12" max="12" width="12.3984375" bestFit="1" customWidth="1"/>
    <col min="13" max="13" width="15.59765625" bestFit="1" customWidth="1"/>
  </cols>
  <sheetData>
    <row r="1" spans="1:14" ht="19" x14ac:dyDescent="0.55000000000000004">
      <c r="A1" s="45" t="s">
        <v>1</v>
      </c>
      <c r="B1" s="45"/>
      <c r="C1" s="45" t="s">
        <v>2</v>
      </c>
      <c r="D1" s="45"/>
      <c r="E1" s="45" t="s">
        <v>7</v>
      </c>
      <c r="F1" s="45"/>
      <c r="G1" s="45" t="s">
        <v>10</v>
      </c>
      <c r="H1" s="45"/>
      <c r="I1" s="45" t="s">
        <v>11</v>
      </c>
      <c r="J1" s="45"/>
      <c r="K1" s="45" t="s">
        <v>3</v>
      </c>
      <c r="L1" s="45"/>
      <c r="M1" s="45" t="s">
        <v>4</v>
      </c>
      <c r="N1" s="45"/>
    </row>
    <row r="2" spans="1:14" x14ac:dyDescent="0.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3" spans="1:14" x14ac:dyDescent="0.5">
      <c r="A3" s="46" t="s">
        <v>52</v>
      </c>
      <c r="B3" s="46">
        <v>357026.46666666667</v>
      </c>
      <c r="C3" s="43" t="s">
        <v>52</v>
      </c>
      <c r="D3" s="46">
        <v>3440.2857142857142</v>
      </c>
      <c r="E3" s="43" t="s">
        <v>52</v>
      </c>
      <c r="F3" s="46">
        <v>29.590476190476192</v>
      </c>
      <c r="G3" s="43" t="s">
        <v>52</v>
      </c>
      <c r="H3" s="43">
        <v>8.2285714285714278</v>
      </c>
      <c r="I3" s="43" t="s">
        <v>52</v>
      </c>
      <c r="J3" s="43">
        <v>708.12380952380954</v>
      </c>
      <c r="K3" s="43" t="s">
        <v>52</v>
      </c>
      <c r="L3" s="43">
        <v>3.8</v>
      </c>
      <c r="M3" s="43" t="s">
        <v>52</v>
      </c>
      <c r="N3" s="43">
        <v>2.7190476190476192</v>
      </c>
    </row>
    <row r="4" spans="1:14" x14ac:dyDescent="0.5">
      <c r="A4" s="43" t="s">
        <v>53</v>
      </c>
      <c r="B4" s="43">
        <v>15682.727269401279</v>
      </c>
      <c r="C4" s="43" t="s">
        <v>53</v>
      </c>
      <c r="D4" s="43">
        <v>137.71050866493678</v>
      </c>
      <c r="E4" s="43" t="s">
        <v>53</v>
      </c>
      <c r="F4" s="43">
        <v>0.98325683300506095</v>
      </c>
      <c r="G4" s="43" t="s">
        <v>53</v>
      </c>
      <c r="H4" s="43">
        <v>0.48931011142083586</v>
      </c>
      <c r="I4" s="43" t="s">
        <v>53</v>
      </c>
      <c r="J4" s="43">
        <v>7.3210982086935603</v>
      </c>
      <c r="K4" s="43" t="s">
        <v>53</v>
      </c>
      <c r="L4" s="43">
        <v>0.14663502822256183</v>
      </c>
      <c r="M4" s="43" t="s">
        <v>53</v>
      </c>
      <c r="N4" s="43">
        <v>9.896992585436068E-2</v>
      </c>
    </row>
    <row r="5" spans="1:14" x14ac:dyDescent="0.5">
      <c r="A5" s="46" t="s">
        <v>54</v>
      </c>
      <c r="B5" s="46">
        <v>323417</v>
      </c>
      <c r="C5" s="43" t="s">
        <v>54</v>
      </c>
      <c r="D5" s="46">
        <v>3150</v>
      </c>
      <c r="E5" s="43" t="s">
        <v>54</v>
      </c>
      <c r="F5" s="46">
        <v>28</v>
      </c>
      <c r="G5" s="43" t="s">
        <v>54</v>
      </c>
      <c r="H5" s="43">
        <v>8</v>
      </c>
      <c r="I5" s="43" t="s">
        <v>54</v>
      </c>
      <c r="J5" s="43">
        <v>726</v>
      </c>
      <c r="K5" s="43" t="s">
        <v>54</v>
      </c>
      <c r="L5" s="43">
        <v>4</v>
      </c>
      <c r="M5" s="43" t="s">
        <v>54</v>
      </c>
      <c r="N5" s="43">
        <v>2.5</v>
      </c>
    </row>
    <row r="6" spans="1:14" x14ac:dyDescent="0.5">
      <c r="A6" s="46" t="s">
        <v>55</v>
      </c>
      <c r="B6" s="46" t="e">
        <v>#N/A</v>
      </c>
      <c r="C6" s="43" t="s">
        <v>55</v>
      </c>
      <c r="D6" s="46">
        <v>3440</v>
      </c>
      <c r="E6" s="43" t="s">
        <v>55</v>
      </c>
      <c r="F6" s="46">
        <v>27</v>
      </c>
      <c r="G6" s="43" t="s">
        <v>55</v>
      </c>
      <c r="H6" s="43">
        <v>6</v>
      </c>
      <c r="I6" s="43" t="s">
        <v>55</v>
      </c>
      <c r="J6" s="43">
        <v>813</v>
      </c>
      <c r="K6" s="43" t="s">
        <v>55</v>
      </c>
      <c r="L6" s="43">
        <v>3</v>
      </c>
      <c r="M6" s="43" t="s">
        <v>55</v>
      </c>
      <c r="N6" s="43">
        <v>1.5</v>
      </c>
    </row>
    <row r="7" spans="1:14" x14ac:dyDescent="0.5">
      <c r="A7" s="43" t="s">
        <v>56</v>
      </c>
      <c r="B7" s="43">
        <v>160700.13420552691</v>
      </c>
      <c r="C7" s="43" t="s">
        <v>56</v>
      </c>
      <c r="D7" s="43">
        <v>1411.1128022448599</v>
      </c>
      <c r="E7" s="43" t="s">
        <v>56</v>
      </c>
      <c r="F7" s="43">
        <v>10.075384358096217</v>
      </c>
      <c r="G7" s="43" t="s">
        <v>56</v>
      </c>
      <c r="H7" s="43">
        <v>5.0139366210155103</v>
      </c>
      <c r="I7" s="43" t="s">
        <v>56</v>
      </c>
      <c r="J7" s="43">
        <v>75.018932897237917</v>
      </c>
      <c r="K7" s="43" t="s">
        <v>56</v>
      </c>
      <c r="L7" s="43">
        <v>1.5025619147616871</v>
      </c>
      <c r="M7" s="43" t="s">
        <v>56</v>
      </c>
      <c r="N7" s="43">
        <v>1.0141399575403058</v>
      </c>
    </row>
    <row r="8" spans="1:14" x14ac:dyDescent="0.5">
      <c r="A8" s="43" t="s">
        <v>57</v>
      </c>
      <c r="B8" s="43">
        <v>25824533133.674355</v>
      </c>
      <c r="C8" s="43" t="s">
        <v>57</v>
      </c>
      <c r="D8" s="43">
        <v>1991239.3406593411</v>
      </c>
      <c r="E8" s="43" t="s">
        <v>57</v>
      </c>
      <c r="F8" s="43">
        <v>101.51336996336991</v>
      </c>
      <c r="G8" s="43" t="s">
        <v>57</v>
      </c>
      <c r="H8" s="43">
        <v>25.139560439560437</v>
      </c>
      <c r="I8" s="43" t="s">
        <v>57</v>
      </c>
      <c r="J8" s="43">
        <v>5627.8402930402845</v>
      </c>
      <c r="K8" s="43" t="s">
        <v>57</v>
      </c>
      <c r="L8" s="43">
        <v>2.2576923076923072</v>
      </c>
      <c r="M8" s="43" t="s">
        <v>57</v>
      </c>
      <c r="N8" s="43">
        <v>1.0284798534798534</v>
      </c>
    </row>
    <row r="9" spans="1:14" x14ac:dyDescent="0.5">
      <c r="A9" s="43" t="s">
        <v>58</v>
      </c>
      <c r="B9" s="43">
        <v>2.3693455129332586</v>
      </c>
      <c r="C9" s="43" t="s">
        <v>58</v>
      </c>
      <c r="D9" s="43">
        <v>0.56298266756535043</v>
      </c>
      <c r="E9" s="43" t="s">
        <v>58</v>
      </c>
      <c r="F9" s="43">
        <v>0.61997634559124659</v>
      </c>
      <c r="G9" s="43" t="s">
        <v>58</v>
      </c>
      <c r="H9" s="43">
        <v>-0.1992998240254491</v>
      </c>
      <c r="I9" s="43" t="s">
        <v>58</v>
      </c>
      <c r="J9" s="43">
        <v>-1.3548963614364227</v>
      </c>
      <c r="K9" s="43" t="s">
        <v>58</v>
      </c>
      <c r="L9" s="43">
        <v>-0.19983842651165595</v>
      </c>
      <c r="M9" s="43" t="s">
        <v>58</v>
      </c>
      <c r="N9" s="43">
        <v>-0.24416997320514477</v>
      </c>
    </row>
    <row r="10" spans="1:14" x14ac:dyDescent="0.5">
      <c r="A10" s="47" t="s">
        <v>59</v>
      </c>
      <c r="B10" s="47">
        <v>1.531454313364716</v>
      </c>
      <c r="C10" s="43" t="s">
        <v>59</v>
      </c>
      <c r="D10" s="47">
        <v>1.0303529704741363</v>
      </c>
      <c r="E10" s="43" t="s">
        <v>59</v>
      </c>
      <c r="F10" s="47">
        <v>0.41871938448707796</v>
      </c>
      <c r="G10" s="43" t="s">
        <v>59</v>
      </c>
      <c r="H10" s="43">
        <v>0.75026838058583267</v>
      </c>
      <c r="I10" s="43" t="s">
        <v>59</v>
      </c>
      <c r="J10" s="43">
        <v>-0.17215155700084236</v>
      </c>
      <c r="K10" s="43" t="s">
        <v>59</v>
      </c>
      <c r="L10" s="43">
        <v>0.66088477574074789</v>
      </c>
      <c r="M10" s="43" t="s">
        <v>59</v>
      </c>
      <c r="N10" s="43">
        <v>0.58836806691697019</v>
      </c>
    </row>
    <row r="11" spans="1:14" x14ac:dyDescent="0.5">
      <c r="A11" s="43" t="s">
        <v>60</v>
      </c>
      <c r="B11" s="43">
        <v>751518</v>
      </c>
      <c r="C11" s="43" t="s">
        <v>60</v>
      </c>
      <c r="D11" s="43">
        <v>6120</v>
      </c>
      <c r="E11" s="43" t="s">
        <v>60</v>
      </c>
      <c r="F11" s="43">
        <v>56</v>
      </c>
      <c r="G11" s="43" t="s">
        <v>60</v>
      </c>
      <c r="H11" s="43">
        <v>19</v>
      </c>
      <c r="I11" s="43" t="s">
        <v>60</v>
      </c>
      <c r="J11" s="43">
        <v>241</v>
      </c>
      <c r="K11" s="43" t="s">
        <v>60</v>
      </c>
      <c r="L11" s="43">
        <v>6</v>
      </c>
      <c r="M11" s="43" t="s">
        <v>60</v>
      </c>
      <c r="N11" s="43">
        <v>4</v>
      </c>
    </row>
    <row r="12" spans="1:14" x14ac:dyDescent="0.5">
      <c r="A12" s="48" t="s">
        <v>61</v>
      </c>
      <c r="B12" s="48">
        <v>167962</v>
      </c>
      <c r="C12" s="43" t="s">
        <v>61</v>
      </c>
      <c r="D12" s="43">
        <v>1550</v>
      </c>
      <c r="E12" s="43" t="s">
        <v>61</v>
      </c>
      <c r="F12" s="43">
        <v>2</v>
      </c>
      <c r="G12" s="43" t="s">
        <v>61</v>
      </c>
      <c r="H12" s="43">
        <v>1</v>
      </c>
      <c r="I12" s="43" t="s">
        <v>61</v>
      </c>
      <c r="J12" s="43">
        <v>583</v>
      </c>
      <c r="K12" s="43" t="s">
        <v>61</v>
      </c>
      <c r="L12" s="43">
        <v>2</v>
      </c>
      <c r="M12" s="43" t="s">
        <v>61</v>
      </c>
      <c r="N12" s="43">
        <v>1.5</v>
      </c>
    </row>
    <row r="13" spans="1:14" x14ac:dyDescent="0.5">
      <c r="A13" s="48" t="s">
        <v>62</v>
      </c>
      <c r="B13" s="48">
        <v>919480</v>
      </c>
      <c r="C13" s="43" t="s">
        <v>62</v>
      </c>
      <c r="D13" s="43">
        <v>7670</v>
      </c>
      <c r="E13" s="43" t="s">
        <v>62</v>
      </c>
      <c r="F13" s="43">
        <v>58</v>
      </c>
      <c r="G13" s="43" t="s">
        <v>62</v>
      </c>
      <c r="H13" s="43">
        <v>20</v>
      </c>
      <c r="I13" s="43" t="s">
        <v>62</v>
      </c>
      <c r="J13" s="43">
        <v>824</v>
      </c>
      <c r="K13" s="43" t="s">
        <v>62</v>
      </c>
      <c r="L13" s="43">
        <v>8</v>
      </c>
      <c r="M13" s="43" t="s">
        <v>62</v>
      </c>
      <c r="N13" s="43">
        <v>5.5</v>
      </c>
    </row>
    <row r="14" spans="1:14" x14ac:dyDescent="0.5">
      <c r="A14" s="43" t="s">
        <v>63</v>
      </c>
      <c r="B14" s="43">
        <v>37487779</v>
      </c>
      <c r="C14" s="43" t="s">
        <v>63</v>
      </c>
      <c r="D14" s="43">
        <v>361230</v>
      </c>
      <c r="E14" s="43" t="s">
        <v>63</v>
      </c>
      <c r="F14" s="43">
        <v>3107</v>
      </c>
      <c r="G14" s="43" t="s">
        <v>63</v>
      </c>
      <c r="H14" s="43">
        <v>864</v>
      </c>
      <c r="I14" s="43" t="s">
        <v>63</v>
      </c>
      <c r="J14" s="43">
        <v>74353</v>
      </c>
      <c r="K14" s="43" t="s">
        <v>63</v>
      </c>
      <c r="L14" s="43">
        <v>399</v>
      </c>
      <c r="M14" s="43" t="s">
        <v>63</v>
      </c>
      <c r="N14" s="43">
        <v>285.5</v>
      </c>
    </row>
    <row r="15" spans="1:14" ht="18.5" thickBot="1" x14ac:dyDescent="0.55000000000000004">
      <c r="A15" s="44" t="s">
        <v>64</v>
      </c>
      <c r="B15" s="44">
        <v>105</v>
      </c>
      <c r="C15" s="44" t="s">
        <v>64</v>
      </c>
      <c r="D15" s="44">
        <v>105</v>
      </c>
      <c r="E15" s="44" t="s">
        <v>64</v>
      </c>
      <c r="F15" s="44">
        <v>105</v>
      </c>
      <c r="G15" s="44" t="s">
        <v>64</v>
      </c>
      <c r="H15" s="44">
        <v>105</v>
      </c>
      <c r="I15" s="44" t="s">
        <v>64</v>
      </c>
      <c r="J15" s="44">
        <v>105</v>
      </c>
      <c r="K15" s="44" t="s">
        <v>64</v>
      </c>
      <c r="L15" s="44">
        <v>105</v>
      </c>
      <c r="M15" s="44" t="s">
        <v>64</v>
      </c>
      <c r="N15" s="44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B2F66-5424-4795-B434-4F91034D3585}">
  <dimension ref="A3:B7"/>
  <sheetViews>
    <sheetView workbookViewId="0">
      <selection activeCell="B5" sqref="B5"/>
    </sheetView>
  </sheetViews>
  <sheetFormatPr defaultRowHeight="18" x14ac:dyDescent="0.5"/>
  <cols>
    <col min="1" max="1" width="10.59765625" bestFit="1" customWidth="1"/>
    <col min="2" max="2" width="12.6640625" bestFit="1" customWidth="1"/>
  </cols>
  <sheetData>
    <row r="3" spans="1:2" x14ac:dyDescent="0.5">
      <c r="A3" s="40" t="s">
        <v>44</v>
      </c>
      <c r="B3" t="s">
        <v>48</v>
      </c>
    </row>
    <row r="4" spans="1:2" x14ac:dyDescent="0.5">
      <c r="A4" s="41" t="s">
        <v>50</v>
      </c>
      <c r="B4" s="42">
        <v>13</v>
      </c>
    </row>
    <row r="5" spans="1:2" x14ac:dyDescent="0.5">
      <c r="A5" s="41" t="s">
        <v>51</v>
      </c>
      <c r="B5" s="42">
        <v>73</v>
      </c>
    </row>
    <row r="6" spans="1:2" x14ac:dyDescent="0.5">
      <c r="A6" s="41" t="s">
        <v>49</v>
      </c>
      <c r="B6" s="42">
        <v>19</v>
      </c>
    </row>
    <row r="7" spans="1:2" x14ac:dyDescent="0.5">
      <c r="A7" s="41" t="s">
        <v>47</v>
      </c>
      <c r="B7" s="42">
        <v>105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B5EAE-3CFC-44D1-9273-2516C61C384E}">
  <dimension ref="A3:B6"/>
  <sheetViews>
    <sheetView zoomScale="90" zoomScaleNormal="90" workbookViewId="0">
      <selection activeCell="G3" sqref="G3"/>
    </sheetView>
  </sheetViews>
  <sheetFormatPr defaultRowHeight="18" x14ac:dyDescent="0.5"/>
  <cols>
    <col min="1" max="1" width="11" bestFit="1" customWidth="1"/>
    <col min="2" max="2" width="13.265625" bestFit="1" customWidth="1"/>
  </cols>
  <sheetData>
    <row r="3" spans="1:2" x14ac:dyDescent="0.5">
      <c r="A3" s="40" t="s">
        <v>44</v>
      </c>
      <c r="B3" t="s">
        <v>48</v>
      </c>
    </row>
    <row r="4" spans="1:2" x14ac:dyDescent="0.5">
      <c r="A4" s="41" t="s">
        <v>45</v>
      </c>
      <c r="B4" s="42">
        <v>38</v>
      </c>
    </row>
    <row r="5" spans="1:2" x14ac:dyDescent="0.5">
      <c r="A5" s="41" t="s">
        <v>46</v>
      </c>
      <c r="B5" s="42">
        <v>67</v>
      </c>
    </row>
    <row r="6" spans="1:2" x14ac:dyDescent="0.5">
      <c r="A6" s="41" t="s">
        <v>47</v>
      </c>
      <c r="B6" s="42">
        <v>105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FEC8A-D189-4C7C-BBD9-254446365047}">
  <dimension ref="A1:B16"/>
  <sheetViews>
    <sheetView zoomScale="54" workbookViewId="0">
      <selection activeCell="G6" sqref="G6"/>
    </sheetView>
  </sheetViews>
  <sheetFormatPr defaultRowHeight="25" x14ac:dyDescent="0.7"/>
  <cols>
    <col min="1" max="1" width="16.265625" style="2" customWidth="1"/>
    <col min="2" max="16384" width="9.06640625" style="2"/>
  </cols>
  <sheetData>
    <row r="1" spans="1:2" x14ac:dyDescent="0.7">
      <c r="A1" s="2" t="s">
        <v>31</v>
      </c>
    </row>
    <row r="3" spans="1:2" x14ac:dyDescent="0.7">
      <c r="A3" s="2" t="s">
        <v>20</v>
      </c>
      <c r="B3" s="2" t="s">
        <v>25</v>
      </c>
    </row>
    <row r="4" spans="1:2" x14ac:dyDescent="0.7">
      <c r="A4" s="2" t="s">
        <v>0</v>
      </c>
      <c r="B4" s="2" t="s">
        <v>21</v>
      </c>
    </row>
    <row r="5" spans="1:2" x14ac:dyDescent="0.7">
      <c r="A5" s="2" t="s">
        <v>1</v>
      </c>
      <c r="B5" s="2" t="s">
        <v>22</v>
      </c>
    </row>
    <row r="6" spans="1:2" x14ac:dyDescent="0.7">
      <c r="A6" s="2" t="s">
        <v>2</v>
      </c>
      <c r="B6" s="2" t="s">
        <v>24</v>
      </c>
    </row>
    <row r="7" spans="1:2" x14ac:dyDescent="0.7">
      <c r="A7" s="2" t="s">
        <v>3</v>
      </c>
      <c r="B7" s="2" t="s">
        <v>23</v>
      </c>
    </row>
    <row r="8" spans="1:2" x14ac:dyDescent="0.7">
      <c r="A8" s="2" t="s">
        <v>4</v>
      </c>
      <c r="B8" s="2" t="s">
        <v>26</v>
      </c>
    </row>
    <row r="9" spans="1:2" x14ac:dyDescent="0.7">
      <c r="A9" s="2" t="s">
        <v>27</v>
      </c>
      <c r="B9" s="2" t="s">
        <v>28</v>
      </c>
    </row>
    <row r="10" spans="1:2" x14ac:dyDescent="0.7">
      <c r="A10" s="2" t="s">
        <v>29</v>
      </c>
      <c r="B10" s="2" t="s">
        <v>30</v>
      </c>
    </row>
    <row r="11" spans="1:2" x14ac:dyDescent="0.7">
      <c r="A11" s="2" t="s">
        <v>7</v>
      </c>
      <c r="B11" s="2" t="s">
        <v>32</v>
      </c>
    </row>
    <row r="12" spans="1:2" x14ac:dyDescent="0.7">
      <c r="A12" s="2" t="s">
        <v>8</v>
      </c>
      <c r="B12" s="2" t="s">
        <v>33</v>
      </c>
    </row>
    <row r="13" spans="1:2" x14ac:dyDescent="0.7">
      <c r="A13" s="2" t="s">
        <v>34</v>
      </c>
      <c r="B13" s="2" t="s">
        <v>35</v>
      </c>
    </row>
    <row r="14" spans="1:2" x14ac:dyDescent="0.7">
      <c r="A14" s="2" t="s">
        <v>10</v>
      </c>
      <c r="B14" s="2" t="s">
        <v>36</v>
      </c>
    </row>
    <row r="15" spans="1:2" x14ac:dyDescent="0.7">
      <c r="A15" s="2" t="s">
        <v>11</v>
      </c>
      <c r="B15" s="2" t="s">
        <v>37</v>
      </c>
    </row>
    <row r="16" spans="1:2" x14ac:dyDescent="0.7">
      <c r="A16" s="2" t="s">
        <v>38</v>
      </c>
      <c r="B16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Charts</vt:lpstr>
      </vt:variant>
      <vt:variant>
        <vt:i4>1</vt:i4>
      </vt:variant>
    </vt:vector>
  </HeadingPairs>
  <TitlesOfParts>
    <vt:vector size="8" baseType="lpstr">
      <vt:lpstr>Real Estate Data</vt:lpstr>
      <vt:lpstr>Prepared Data</vt:lpstr>
      <vt:lpstr>QUANT - Price</vt:lpstr>
      <vt:lpstr>QUANT - Summary</vt:lpstr>
      <vt:lpstr>CAT - Quality</vt:lpstr>
      <vt:lpstr>CAT - Pool</vt:lpstr>
      <vt:lpstr>Description of Data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Wathen</dc:creator>
  <cp:lastModifiedBy>Drew Caldwell</cp:lastModifiedBy>
  <dcterms:created xsi:type="dcterms:W3CDTF">2016-05-31T14:49:36Z</dcterms:created>
  <dcterms:modified xsi:type="dcterms:W3CDTF">2026-01-14T01:40:40Z</dcterms:modified>
</cp:coreProperties>
</file>