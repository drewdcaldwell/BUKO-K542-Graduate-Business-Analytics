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mc:AlternateContent xmlns:mc="http://schemas.openxmlformats.org/markup-compatibility/2006">
    <mc:Choice Requires="x15">
      <x15ac:absPath xmlns:x15ac="http://schemas.microsoft.com/office/spreadsheetml/2010/11/ac" url="C:\Users\dcaldwell\Downloads\"/>
    </mc:Choice>
  </mc:AlternateContent>
  <xr:revisionPtr revIDLastSave="0" documentId="8_{1B3129C2-D353-4F99-9F3E-EEA0AA057BDB}" xr6:coauthVersionLast="47" xr6:coauthVersionMax="47" xr10:uidLastSave="{00000000-0000-0000-0000-000000000000}"/>
  <bookViews>
    <workbookView xWindow="-110" yWindow="-110" windowWidth="19420" windowHeight="11500" xr2:uid="{00000000-000D-0000-FFFF-FFFF00000000}"/>
  </bookViews>
  <sheets>
    <sheet name="Discrete Demand" sheetId="1" r:id="rId1"/>
    <sheet name="Normal Dist Demand" sheetId="2" r:id="rId2"/>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200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 l="1"/>
  <c r="G20" i="2"/>
  <c r="E20" i="2"/>
  <c r="J19" i="2"/>
  <c r="I19" i="2"/>
  <c r="H19" i="2"/>
  <c r="G19" i="2"/>
  <c r="F19" i="2"/>
  <c r="E19" i="2"/>
  <c r="B21" i="2"/>
  <c r="B19" i="2"/>
  <c r="G18" i="1"/>
  <c r="H18" i="1"/>
  <c r="I18" i="1"/>
  <c r="J18" i="1"/>
  <c r="K18" i="1"/>
  <c r="G19" i="1"/>
  <c r="H19" i="1"/>
  <c r="I19" i="1"/>
  <c r="J19" i="1"/>
  <c r="K19" i="1"/>
  <c r="G20" i="1"/>
  <c r="H20" i="1"/>
  <c r="I20" i="1"/>
  <c r="J20" i="1"/>
  <c r="K20" i="1"/>
  <c r="G21" i="1"/>
  <c r="H21" i="1"/>
  <c r="I21" i="1"/>
  <c r="J21" i="1"/>
  <c r="K21" i="1"/>
  <c r="F20" i="1"/>
  <c r="F18" i="1"/>
  <c r="G17" i="1"/>
  <c r="H17" i="1"/>
  <c r="I17" i="1"/>
  <c r="J17" i="1"/>
  <c r="K17" i="1"/>
  <c r="F17" i="1"/>
  <c r="G16" i="1"/>
  <c r="H16" i="1"/>
  <c r="I16" i="1"/>
  <c r="J16" i="1"/>
  <c r="K16" i="1"/>
  <c r="F16" i="1"/>
  <c r="I26" i="1"/>
  <c r="H26" i="1"/>
  <c r="G26" i="1"/>
  <c r="F26" i="1"/>
  <c r="E26" i="1"/>
  <c r="D26" i="1"/>
  <c r="C16" i="1"/>
  <c r="C23" i="1"/>
  <c r="C24" i="1"/>
  <c r="I6" i="2" l="1"/>
  <c r="J6" i="2"/>
  <c r="K6" i="2"/>
  <c r="L6" i="2"/>
  <c r="M6" i="2"/>
  <c r="N6" i="2"/>
  <c r="O6" i="2"/>
  <c r="P6" i="2"/>
  <c r="Q6" i="2"/>
  <c r="R6" i="2"/>
  <c r="S6" i="2"/>
  <c r="T6" i="2"/>
  <c r="U6" i="2"/>
  <c r="V6" i="2"/>
  <c r="W6" i="2"/>
  <c r="X6" i="2"/>
  <c r="Y6" i="2"/>
  <c r="Z6" i="2"/>
  <c r="AA6" i="2"/>
  <c r="AB6" i="2"/>
  <c r="I7" i="2"/>
  <c r="J7" i="2"/>
  <c r="K7" i="2"/>
  <c r="L7" i="2"/>
  <c r="M7" i="2"/>
  <c r="N7" i="2"/>
  <c r="O7" i="2"/>
  <c r="P7" i="2"/>
  <c r="Q7" i="2"/>
  <c r="R7" i="2"/>
  <c r="S7" i="2"/>
  <c r="T7" i="2"/>
  <c r="U7" i="2"/>
  <c r="V7" i="2"/>
  <c r="W7" i="2"/>
  <c r="X7" i="2"/>
  <c r="Y7" i="2"/>
  <c r="Z7" i="2"/>
  <c r="AA7" i="2"/>
  <c r="AB7" i="2"/>
  <c r="I8" i="2"/>
  <c r="J8" i="2"/>
  <c r="K8" i="2"/>
  <c r="L8" i="2"/>
  <c r="M8" i="2"/>
  <c r="N8" i="2"/>
  <c r="O8" i="2"/>
  <c r="P8" i="2"/>
  <c r="Q8" i="2"/>
  <c r="R8" i="2"/>
  <c r="S8" i="2"/>
  <c r="T8" i="2"/>
  <c r="U8" i="2"/>
  <c r="V8" i="2"/>
  <c r="W8" i="2"/>
  <c r="X8" i="2"/>
  <c r="Y8" i="2"/>
  <c r="Z8" i="2"/>
  <c r="AA8" i="2"/>
  <c r="AB8" i="2"/>
  <c r="H8" i="2"/>
  <c r="H7" i="2"/>
  <c r="H6" i="2"/>
  <c r="I5" i="2"/>
  <c r="J5" i="2"/>
  <c r="K5" i="2"/>
  <c r="L5" i="2"/>
  <c r="M5" i="2"/>
  <c r="N5" i="2"/>
  <c r="O5" i="2"/>
  <c r="P5" i="2"/>
  <c r="Q5" i="2"/>
  <c r="R5" i="2"/>
  <c r="S5" i="2"/>
  <c r="T5" i="2"/>
  <c r="U5" i="2"/>
  <c r="V5" i="2"/>
  <c r="W5" i="2"/>
  <c r="X5" i="2"/>
  <c r="Y5" i="2"/>
  <c r="Z5" i="2"/>
  <c r="AA5" i="2"/>
  <c r="AB5" i="2"/>
  <c r="J4" i="2"/>
  <c r="K4" i="2" s="1"/>
  <c r="L4" i="2" s="1"/>
  <c r="M4" i="2" s="1"/>
  <c r="N4" i="2" s="1"/>
  <c r="O4" i="2" s="1"/>
  <c r="P4" i="2" s="1"/>
  <c r="Q4" i="2" s="1"/>
  <c r="R4" i="2" s="1"/>
  <c r="S4" i="2" s="1"/>
  <c r="T4" i="2" s="1"/>
  <c r="U4" i="2" s="1"/>
  <c r="V4" i="2" s="1"/>
  <c r="W4" i="2" s="1"/>
  <c r="X4" i="2" s="1"/>
  <c r="Y4" i="2" s="1"/>
  <c r="Z4" i="2" s="1"/>
  <c r="AA4" i="2" s="1"/>
  <c r="AB4" i="2" s="1"/>
  <c r="I4" i="2"/>
  <c r="X27" i="2"/>
  <c r="F27" i="2"/>
  <c r="G27" i="2" s="1"/>
  <c r="H27" i="2" s="1"/>
  <c r="I27" i="2" s="1"/>
  <c r="J27" i="2" s="1"/>
  <c r="K27" i="2" s="1"/>
  <c r="L27" i="2" s="1"/>
  <c r="M27" i="2" s="1"/>
  <c r="N27" i="2" s="1"/>
  <c r="O27" i="2" s="1"/>
  <c r="P27" i="2" s="1"/>
  <c r="Q27" i="2" s="1"/>
  <c r="R27" i="2" s="1"/>
  <c r="S27" i="2" s="1"/>
  <c r="T27" i="2" s="1"/>
  <c r="U27" i="2" s="1"/>
  <c r="V27" i="2" s="1"/>
  <c r="W27" i="2" s="1"/>
  <c r="E27" i="2"/>
  <c r="C34" i="2"/>
  <c r="C35" i="2"/>
  <c r="C36" i="2"/>
  <c r="C48" i="2"/>
  <c r="C49" i="2"/>
  <c r="C50" i="2"/>
  <c r="C62" i="2"/>
  <c r="C63" i="2"/>
  <c r="C64" i="2"/>
  <c r="C76" i="2"/>
  <c r="C77" i="2"/>
  <c r="C78" i="2"/>
  <c r="C90" i="2"/>
  <c r="C91" i="2"/>
  <c r="C92" i="2"/>
  <c r="C104" i="2"/>
  <c r="C105" i="2"/>
  <c r="C106" i="2"/>
  <c r="C118" i="2"/>
  <c r="C119" i="2"/>
  <c r="C120" i="2"/>
  <c r="C132" i="2"/>
  <c r="C133" i="2"/>
  <c r="C134" i="2"/>
  <c r="C146" i="2"/>
  <c r="C147" i="2"/>
  <c r="C148" i="2"/>
  <c r="C160" i="2"/>
  <c r="C161" i="2"/>
  <c r="C162" i="2"/>
  <c r="C174" i="2"/>
  <c r="C175" i="2"/>
  <c r="C176" i="2"/>
  <c r="C188" i="2"/>
  <c r="C189" i="2"/>
  <c r="C190" i="2"/>
  <c r="C202" i="2"/>
  <c r="C203" i="2"/>
  <c r="C204" i="2"/>
  <c r="C216" i="2"/>
  <c r="C217" i="2"/>
  <c r="C218" i="2"/>
  <c r="C230" i="2"/>
  <c r="C231" i="2"/>
  <c r="C232" i="2"/>
  <c r="C244" i="2"/>
  <c r="C245" i="2"/>
  <c r="C246" i="2"/>
  <c r="C258" i="2"/>
  <c r="C259" i="2"/>
  <c r="C260" i="2"/>
  <c r="C272" i="2"/>
  <c r="C273" i="2"/>
  <c r="C274" i="2"/>
  <c r="C286" i="2"/>
  <c r="C287" i="2"/>
  <c r="C288" i="2"/>
  <c r="C300" i="2"/>
  <c r="C301" i="2"/>
  <c r="C302" i="2"/>
  <c r="C314" i="2"/>
  <c r="C315" i="2"/>
  <c r="C316" i="2"/>
  <c r="C328" i="2"/>
  <c r="C329" i="2"/>
  <c r="C330" i="2"/>
  <c r="C342" i="2"/>
  <c r="C343" i="2"/>
  <c r="C344" i="2"/>
  <c r="C356" i="2"/>
  <c r="C357" i="2"/>
  <c r="C358" i="2"/>
  <c r="C370" i="2"/>
  <c r="C371" i="2"/>
  <c r="C372" i="2"/>
  <c r="C384" i="2"/>
  <c r="C385" i="2"/>
  <c r="C386" i="2"/>
  <c r="C398" i="2"/>
  <c r="C399" i="2"/>
  <c r="C400" i="2"/>
  <c r="C412" i="2"/>
  <c r="C413" i="2"/>
  <c r="C414" i="2"/>
  <c r="C426" i="2"/>
  <c r="C427" i="2"/>
  <c r="C428" i="2"/>
  <c r="C440" i="2"/>
  <c r="C441" i="2"/>
  <c r="C442" i="2"/>
  <c r="C454" i="2"/>
  <c r="C455" i="2"/>
  <c r="C456" i="2"/>
  <c r="C468" i="2"/>
  <c r="C469" i="2"/>
  <c r="C470" i="2"/>
  <c r="C482" i="2"/>
  <c r="C483" i="2"/>
  <c r="C484" i="2"/>
  <c r="C496" i="2"/>
  <c r="C497" i="2"/>
  <c r="C498" i="2"/>
  <c r="C510" i="2"/>
  <c r="C511" i="2"/>
  <c r="C512" i="2"/>
  <c r="C524" i="2"/>
  <c r="C525" i="2"/>
  <c r="C526" i="2"/>
  <c r="C29" i="2"/>
  <c r="C30" i="2"/>
  <c r="C31" i="2"/>
  <c r="C32" i="2"/>
  <c r="C33" i="2"/>
  <c r="C37" i="2"/>
  <c r="C38" i="2"/>
  <c r="C39" i="2"/>
  <c r="C40" i="2"/>
  <c r="C41" i="2"/>
  <c r="C42" i="2"/>
  <c r="C43" i="2"/>
  <c r="C44" i="2"/>
  <c r="C45" i="2"/>
  <c r="C46" i="2"/>
  <c r="C47" i="2"/>
  <c r="C51" i="2"/>
  <c r="C52" i="2"/>
  <c r="C53" i="2"/>
  <c r="C54" i="2"/>
  <c r="C55" i="2"/>
  <c r="C56" i="2"/>
  <c r="C57" i="2"/>
  <c r="C58" i="2"/>
  <c r="C59" i="2"/>
  <c r="C60" i="2"/>
  <c r="C61" i="2"/>
  <c r="C65" i="2"/>
  <c r="C66" i="2"/>
  <c r="C67" i="2"/>
  <c r="C68" i="2"/>
  <c r="C69" i="2"/>
  <c r="C70" i="2"/>
  <c r="C71" i="2"/>
  <c r="C72" i="2"/>
  <c r="C73" i="2"/>
  <c r="C74" i="2"/>
  <c r="C75" i="2"/>
  <c r="C79" i="2"/>
  <c r="C80" i="2"/>
  <c r="C81" i="2"/>
  <c r="C82" i="2"/>
  <c r="C83" i="2"/>
  <c r="C84" i="2"/>
  <c r="C85" i="2"/>
  <c r="C86" i="2"/>
  <c r="C87" i="2"/>
  <c r="C88" i="2"/>
  <c r="C89" i="2"/>
  <c r="C93" i="2"/>
  <c r="C94" i="2"/>
  <c r="C95" i="2"/>
  <c r="C96" i="2"/>
  <c r="C97" i="2"/>
  <c r="C98" i="2"/>
  <c r="C99" i="2"/>
  <c r="C100" i="2"/>
  <c r="C101" i="2"/>
  <c r="C102" i="2"/>
  <c r="C103" i="2"/>
  <c r="C107" i="2"/>
  <c r="C108" i="2"/>
  <c r="C109" i="2"/>
  <c r="C110" i="2"/>
  <c r="C111" i="2"/>
  <c r="C112" i="2"/>
  <c r="C113" i="2"/>
  <c r="C114" i="2"/>
  <c r="C115" i="2"/>
  <c r="C116" i="2"/>
  <c r="C117" i="2"/>
  <c r="C121" i="2"/>
  <c r="C122" i="2"/>
  <c r="C123" i="2"/>
  <c r="C124" i="2"/>
  <c r="C125" i="2"/>
  <c r="C126" i="2"/>
  <c r="C127" i="2"/>
  <c r="C128" i="2"/>
  <c r="C129" i="2"/>
  <c r="C130" i="2"/>
  <c r="C131" i="2"/>
  <c r="C135" i="2"/>
  <c r="C136" i="2"/>
  <c r="C137" i="2"/>
  <c r="C138" i="2"/>
  <c r="C139" i="2"/>
  <c r="C140" i="2"/>
  <c r="C141" i="2"/>
  <c r="C142" i="2"/>
  <c r="C143" i="2"/>
  <c r="C144" i="2"/>
  <c r="C145" i="2"/>
  <c r="C149" i="2"/>
  <c r="C150" i="2"/>
  <c r="C151" i="2"/>
  <c r="C152" i="2"/>
  <c r="C153" i="2"/>
  <c r="C154" i="2"/>
  <c r="C155" i="2"/>
  <c r="C156" i="2"/>
  <c r="C157" i="2"/>
  <c r="C158" i="2"/>
  <c r="C159" i="2"/>
  <c r="C163" i="2"/>
  <c r="C164" i="2"/>
  <c r="C165" i="2"/>
  <c r="C166" i="2"/>
  <c r="C167" i="2"/>
  <c r="C168" i="2"/>
  <c r="C169" i="2"/>
  <c r="C170" i="2"/>
  <c r="C171" i="2"/>
  <c r="C172" i="2"/>
  <c r="C173" i="2"/>
  <c r="C177" i="2"/>
  <c r="C178" i="2"/>
  <c r="C179" i="2"/>
  <c r="C180" i="2"/>
  <c r="C181" i="2"/>
  <c r="C182" i="2"/>
  <c r="C183" i="2"/>
  <c r="C184" i="2"/>
  <c r="C185" i="2"/>
  <c r="C186" i="2"/>
  <c r="C187" i="2"/>
  <c r="C191" i="2"/>
  <c r="C192" i="2"/>
  <c r="C193" i="2"/>
  <c r="C194" i="2"/>
  <c r="C195" i="2"/>
  <c r="C196" i="2"/>
  <c r="C197" i="2"/>
  <c r="C198" i="2"/>
  <c r="C199" i="2"/>
  <c r="C200" i="2"/>
  <c r="C201" i="2"/>
  <c r="C205" i="2"/>
  <c r="C206" i="2"/>
  <c r="C207" i="2"/>
  <c r="C208" i="2"/>
  <c r="C209" i="2"/>
  <c r="C210" i="2"/>
  <c r="C211" i="2"/>
  <c r="C212" i="2"/>
  <c r="C213" i="2"/>
  <c r="C214" i="2"/>
  <c r="C215" i="2"/>
  <c r="C219" i="2"/>
  <c r="C220" i="2"/>
  <c r="C221" i="2"/>
  <c r="C222" i="2"/>
  <c r="C223" i="2"/>
  <c r="C224" i="2"/>
  <c r="C225" i="2"/>
  <c r="C226" i="2"/>
  <c r="C227" i="2"/>
  <c r="C228" i="2"/>
  <c r="C229" i="2"/>
  <c r="C233" i="2"/>
  <c r="C234" i="2"/>
  <c r="C235" i="2"/>
  <c r="C236" i="2"/>
  <c r="C237" i="2"/>
  <c r="C238" i="2"/>
  <c r="C239" i="2"/>
  <c r="C240" i="2"/>
  <c r="C241" i="2"/>
  <c r="C242" i="2"/>
  <c r="C243" i="2"/>
  <c r="C247" i="2"/>
  <c r="C248" i="2"/>
  <c r="C249" i="2"/>
  <c r="C250" i="2"/>
  <c r="C251" i="2"/>
  <c r="C252" i="2"/>
  <c r="C253" i="2"/>
  <c r="C254" i="2"/>
  <c r="C255" i="2"/>
  <c r="C256" i="2"/>
  <c r="C257" i="2"/>
  <c r="C261" i="2"/>
  <c r="C262" i="2"/>
  <c r="C263" i="2"/>
  <c r="C264" i="2"/>
  <c r="C265" i="2"/>
  <c r="C266" i="2"/>
  <c r="C267" i="2"/>
  <c r="C268" i="2"/>
  <c r="C269" i="2"/>
  <c r="C270" i="2"/>
  <c r="C271" i="2"/>
  <c r="C275" i="2"/>
  <c r="C276" i="2"/>
  <c r="C277" i="2"/>
  <c r="C278" i="2"/>
  <c r="C279" i="2"/>
  <c r="C280" i="2"/>
  <c r="C281" i="2"/>
  <c r="C282" i="2"/>
  <c r="C283" i="2"/>
  <c r="C284" i="2"/>
  <c r="C285" i="2"/>
  <c r="C289" i="2"/>
  <c r="C290" i="2"/>
  <c r="C291" i="2"/>
  <c r="C292" i="2"/>
  <c r="C293" i="2"/>
  <c r="C294" i="2"/>
  <c r="C295" i="2"/>
  <c r="C296" i="2"/>
  <c r="C297" i="2"/>
  <c r="C298" i="2"/>
  <c r="C299" i="2"/>
  <c r="C303" i="2"/>
  <c r="C304" i="2"/>
  <c r="C305" i="2"/>
  <c r="C306" i="2"/>
  <c r="C307" i="2"/>
  <c r="C308" i="2"/>
  <c r="C309" i="2"/>
  <c r="C310" i="2"/>
  <c r="C311" i="2"/>
  <c r="C312" i="2"/>
  <c r="C313" i="2"/>
  <c r="C317" i="2"/>
  <c r="C318" i="2"/>
  <c r="C319" i="2"/>
  <c r="C320" i="2"/>
  <c r="C321" i="2"/>
  <c r="C322" i="2"/>
  <c r="C323" i="2"/>
  <c r="C324" i="2"/>
  <c r="C325" i="2"/>
  <c r="C326" i="2"/>
  <c r="C327" i="2"/>
  <c r="C331" i="2"/>
  <c r="C332" i="2"/>
  <c r="C333" i="2"/>
  <c r="C334" i="2"/>
  <c r="C335" i="2"/>
  <c r="C336" i="2"/>
  <c r="C337" i="2"/>
  <c r="C338" i="2"/>
  <c r="C339" i="2"/>
  <c r="C340" i="2"/>
  <c r="C341" i="2"/>
  <c r="C345" i="2"/>
  <c r="C346" i="2"/>
  <c r="C347" i="2"/>
  <c r="C348" i="2"/>
  <c r="C349" i="2"/>
  <c r="C350" i="2"/>
  <c r="C351" i="2"/>
  <c r="C352" i="2"/>
  <c r="C353" i="2"/>
  <c r="C354" i="2"/>
  <c r="C355" i="2"/>
  <c r="C359" i="2"/>
  <c r="C360" i="2"/>
  <c r="C361" i="2"/>
  <c r="C362" i="2"/>
  <c r="C363" i="2"/>
  <c r="C364" i="2"/>
  <c r="C365" i="2"/>
  <c r="C366" i="2"/>
  <c r="C367" i="2"/>
  <c r="C368" i="2"/>
  <c r="C369" i="2"/>
  <c r="C373" i="2"/>
  <c r="C374" i="2"/>
  <c r="C375" i="2"/>
  <c r="C376" i="2"/>
  <c r="C377" i="2"/>
  <c r="C378" i="2"/>
  <c r="C379" i="2"/>
  <c r="C380" i="2"/>
  <c r="C381" i="2"/>
  <c r="C382" i="2"/>
  <c r="C383" i="2"/>
  <c r="C387" i="2"/>
  <c r="C388" i="2"/>
  <c r="C389" i="2"/>
  <c r="C390" i="2"/>
  <c r="C391" i="2"/>
  <c r="C392" i="2"/>
  <c r="C393" i="2"/>
  <c r="C394" i="2"/>
  <c r="C395" i="2"/>
  <c r="C396" i="2"/>
  <c r="C397" i="2"/>
  <c r="C401" i="2"/>
  <c r="C402" i="2"/>
  <c r="C403" i="2"/>
  <c r="C404" i="2"/>
  <c r="C405" i="2"/>
  <c r="C406" i="2"/>
  <c r="C407" i="2"/>
  <c r="C408" i="2"/>
  <c r="C409" i="2"/>
  <c r="C410" i="2"/>
  <c r="C411" i="2"/>
  <c r="C415" i="2"/>
  <c r="C416" i="2"/>
  <c r="C417" i="2"/>
  <c r="C418" i="2"/>
  <c r="C419" i="2"/>
  <c r="C420" i="2"/>
  <c r="C421" i="2"/>
  <c r="C422" i="2"/>
  <c r="C423" i="2"/>
  <c r="C424" i="2"/>
  <c r="C425" i="2"/>
  <c r="C429" i="2"/>
  <c r="C430" i="2"/>
  <c r="C431" i="2"/>
  <c r="C432" i="2"/>
  <c r="C433" i="2"/>
  <c r="C434" i="2"/>
  <c r="C435" i="2"/>
  <c r="C436" i="2"/>
  <c r="C437" i="2"/>
  <c r="C438" i="2"/>
  <c r="C439" i="2"/>
  <c r="C443" i="2"/>
  <c r="C444" i="2"/>
  <c r="C445" i="2"/>
  <c r="C446" i="2"/>
  <c r="C447" i="2"/>
  <c r="C448" i="2"/>
  <c r="C449" i="2"/>
  <c r="C450" i="2"/>
  <c r="C451" i="2"/>
  <c r="C452" i="2"/>
  <c r="C453" i="2"/>
  <c r="C457" i="2"/>
  <c r="C458" i="2"/>
  <c r="C459" i="2"/>
  <c r="C460" i="2"/>
  <c r="C461" i="2"/>
  <c r="C462" i="2"/>
  <c r="C463" i="2"/>
  <c r="C464" i="2"/>
  <c r="C465" i="2"/>
  <c r="C466" i="2"/>
  <c r="C467" i="2"/>
  <c r="C471" i="2"/>
  <c r="C472" i="2"/>
  <c r="C473" i="2"/>
  <c r="C474" i="2"/>
  <c r="C475" i="2"/>
  <c r="C476" i="2"/>
  <c r="C477" i="2"/>
  <c r="C478" i="2"/>
  <c r="C479" i="2"/>
  <c r="C480" i="2"/>
  <c r="C481" i="2"/>
  <c r="C485" i="2"/>
  <c r="C486" i="2"/>
  <c r="C487" i="2"/>
  <c r="C488" i="2"/>
  <c r="C489" i="2"/>
  <c r="C490" i="2"/>
  <c r="C491" i="2"/>
  <c r="C492" i="2"/>
  <c r="C493" i="2"/>
  <c r="C494" i="2"/>
  <c r="C495" i="2"/>
  <c r="C499" i="2"/>
  <c r="C500" i="2"/>
  <c r="C501" i="2"/>
  <c r="C502" i="2"/>
  <c r="C503" i="2"/>
  <c r="C504" i="2"/>
  <c r="C505" i="2"/>
  <c r="C506" i="2"/>
  <c r="C507" i="2"/>
  <c r="C508" i="2"/>
  <c r="C509" i="2"/>
  <c r="C513" i="2"/>
  <c r="C514" i="2"/>
  <c r="C515" i="2"/>
  <c r="C516" i="2"/>
  <c r="C517" i="2"/>
  <c r="C518" i="2"/>
  <c r="C519" i="2"/>
  <c r="C520" i="2"/>
  <c r="C521" i="2"/>
  <c r="C522" i="2"/>
  <c r="C523" i="2"/>
  <c r="C527" i="2"/>
  <c r="C28" i="2"/>
  <c r="B16" i="2"/>
  <c r="B15" i="2"/>
  <c r="B20" i="2" s="1"/>
  <c r="F20" i="2" s="1"/>
  <c r="B14" i="2"/>
  <c r="B15" i="1"/>
  <c r="B16" i="1"/>
  <c r="F21" i="1"/>
  <c r="F19" i="1"/>
  <c r="H25" i="1"/>
  <c r="C15" i="1"/>
  <c r="D25" i="1"/>
  <c r="G25" i="1"/>
  <c r="C16" i="2"/>
  <c r="C15" i="2"/>
  <c r="C14" i="2"/>
  <c r="E25" i="1"/>
  <c r="F25" i="1"/>
  <c r="C21" i="2"/>
  <c r="C20" i="2"/>
  <c r="C19" i="2"/>
  <c r="C23" i="2"/>
  <c r="C22" i="2"/>
  <c r="B22" i="2" l="1"/>
  <c r="H20" i="2" s="1"/>
  <c r="B23" i="2"/>
  <c r="I20" i="2" s="1"/>
  <c r="B24" i="2"/>
  <c r="C27" i="2" l="1"/>
  <c r="J20" i="2"/>
  <c r="B21" i="1"/>
  <c r="F27" i="1" s="1"/>
  <c r="B19" i="1"/>
  <c r="B14" i="1"/>
  <c r="D6" i="1"/>
  <c r="D7" i="1" s="1"/>
  <c r="C404" i="1" s="1"/>
  <c r="C19" i="1"/>
  <c r="C22" i="1"/>
  <c r="C20" i="1"/>
  <c r="C21" i="1"/>
  <c r="C14" i="1"/>
  <c r="D27" i="1" l="1"/>
  <c r="B23" i="1"/>
  <c r="B22" i="1"/>
  <c r="G27" i="1" s="1"/>
  <c r="B20" i="1"/>
  <c r="C377" i="1"/>
  <c r="C98" i="1"/>
  <c r="C459" i="1"/>
  <c r="C452" i="1"/>
  <c r="C405" i="1"/>
  <c r="C248" i="1"/>
  <c r="C290" i="1"/>
  <c r="C334" i="1"/>
  <c r="C246" i="1"/>
  <c r="C319" i="1"/>
  <c r="C74" i="1"/>
  <c r="C41" i="1"/>
  <c r="C57" i="1"/>
  <c r="C72" i="1"/>
  <c r="C364" i="1"/>
  <c r="C247" i="1"/>
  <c r="C527" i="1"/>
  <c r="C385" i="1"/>
  <c r="C131" i="1"/>
  <c r="C165" i="1"/>
  <c r="C498" i="1"/>
  <c r="C211" i="1"/>
  <c r="C359" i="1"/>
  <c r="C453" i="1"/>
  <c r="C119" i="1"/>
  <c r="C333" i="1"/>
  <c r="C376" i="1"/>
  <c r="C243" i="1"/>
  <c r="C81" i="1"/>
  <c r="C258" i="1"/>
  <c r="C371" i="1"/>
  <c r="C400" i="1"/>
  <c r="C350" i="1"/>
  <c r="C257" i="1"/>
  <c r="C285" i="1"/>
  <c r="C481" i="1"/>
  <c r="C299" i="1"/>
  <c r="C82" i="1"/>
  <c r="C35" i="1"/>
  <c r="C186" i="1"/>
  <c r="C316" i="1"/>
  <c r="C249" i="1"/>
  <c r="C295" i="1"/>
  <c r="C101" i="1"/>
  <c r="C493" i="1"/>
  <c r="C323" i="1"/>
  <c r="C523" i="1"/>
  <c r="C83" i="1"/>
  <c r="C240" i="1"/>
  <c r="C156" i="1"/>
  <c r="C63" i="1"/>
  <c r="C516" i="1"/>
  <c r="C310" i="1"/>
  <c r="C117" i="1"/>
  <c r="C331" i="1"/>
  <c r="C77" i="1"/>
  <c r="C266" i="1"/>
  <c r="D8" i="1"/>
  <c r="D9" i="1" s="1"/>
  <c r="C306" i="1" s="1"/>
  <c r="H27" i="1" l="1"/>
  <c r="B24" i="1"/>
  <c r="I27" i="1" s="1"/>
  <c r="E27" i="1"/>
  <c r="C238" i="1"/>
  <c r="C302" i="1"/>
  <c r="C151" i="1"/>
  <c r="C153" i="1"/>
  <c r="C217" i="1"/>
  <c r="C491" i="1"/>
  <c r="C163" i="1"/>
  <c r="C424" i="1"/>
  <c r="C427" i="1"/>
  <c r="C205" i="1"/>
  <c r="C234" i="1"/>
  <c r="C435" i="1"/>
  <c r="C351" i="1"/>
  <c r="C113" i="1"/>
  <c r="C55" i="1"/>
  <c r="C162" i="1"/>
  <c r="C155" i="1"/>
  <c r="C224" i="1"/>
  <c r="C70" i="1"/>
  <c r="C375" i="1"/>
  <c r="C168" i="1"/>
  <c r="C378" i="1"/>
  <c r="C212" i="1"/>
  <c r="C199" i="1"/>
  <c r="C406" i="1"/>
  <c r="C468" i="1"/>
  <c r="C328" i="1"/>
  <c r="C494" i="1"/>
  <c r="C75" i="1"/>
  <c r="C432" i="1"/>
  <c r="C44" i="1"/>
  <c r="C203" i="1"/>
  <c r="C265" i="1"/>
  <c r="C107" i="1"/>
  <c r="C418" i="1"/>
  <c r="C420" i="1"/>
  <c r="C137" i="1"/>
  <c r="C340" i="1"/>
  <c r="C366" i="1"/>
  <c r="C111" i="1"/>
  <c r="C282" i="1"/>
  <c r="C58" i="1"/>
  <c r="C384" i="1"/>
  <c r="C519" i="1"/>
  <c r="C245" i="1"/>
  <c r="C278" i="1"/>
  <c r="C484" i="1"/>
  <c r="C84" i="1"/>
  <c r="C355" i="1"/>
  <c r="C360" i="1"/>
  <c r="C271" i="1"/>
  <c r="C250" i="1"/>
  <c r="C241" i="1"/>
  <c r="C472" i="1"/>
  <c r="C161" i="1"/>
  <c r="C121" i="1"/>
  <c r="C354" i="1"/>
  <c r="C407" i="1"/>
  <c r="C522" i="1"/>
  <c r="C298" i="1"/>
  <c r="C479" i="1"/>
  <c r="C118" i="1"/>
  <c r="C403" i="1"/>
  <c r="C373" i="1"/>
  <c r="C225" i="1"/>
  <c r="C467" i="1"/>
  <c r="C254" i="1"/>
  <c r="C244" i="1"/>
  <c r="C135" i="1"/>
  <c r="C485" i="1"/>
  <c r="C127" i="1"/>
  <c r="C252" i="1"/>
  <c r="C338" i="1"/>
  <c r="C426" i="1"/>
  <c r="C187" i="1"/>
  <c r="C343" i="1"/>
  <c r="C242" i="1"/>
  <c r="C42" i="1"/>
  <c r="C180" i="1"/>
  <c r="C274" i="1"/>
  <c r="C226" i="1"/>
  <c r="C197" i="1"/>
  <c r="C291" i="1"/>
  <c r="C332" i="1"/>
  <c r="C169" i="1"/>
  <c r="C140" i="1"/>
  <c r="C29" i="1"/>
  <c r="C128" i="1"/>
  <c r="C28" i="1"/>
  <c r="C223" i="1"/>
  <c r="C483" i="1"/>
  <c r="C157" i="1"/>
  <c r="C444" i="1"/>
  <c r="C166" i="1"/>
  <c r="C53" i="1"/>
  <c r="C289" i="1"/>
  <c r="C122" i="1"/>
  <c r="C454" i="1"/>
  <c r="C279" i="1"/>
  <c r="C508" i="1"/>
  <c r="C228" i="1"/>
  <c r="C482" i="1"/>
  <c r="C513" i="1"/>
  <c r="C499" i="1"/>
  <c r="C327" i="1"/>
  <c r="C79" i="1"/>
  <c r="C398" i="1"/>
  <c r="C134" i="1"/>
  <c r="C461" i="1"/>
  <c r="C172" i="1"/>
  <c r="C71" i="1"/>
  <c r="C38" i="1"/>
  <c r="C356" i="1"/>
  <c r="C50" i="1"/>
  <c r="C209" i="1"/>
  <c r="C436" i="1"/>
  <c r="C471" i="1"/>
  <c r="C126" i="1"/>
  <c r="C474" i="1"/>
  <c r="C429" i="1"/>
  <c r="C477" i="1"/>
  <c r="C235" i="1"/>
  <c r="C382" i="1"/>
  <c r="C448" i="1"/>
  <c r="C164" i="1"/>
  <c r="C179" i="1"/>
  <c r="C260" i="1"/>
  <c r="C287" i="1"/>
  <c r="C34" i="1"/>
  <c r="C139" i="1"/>
  <c r="C396" i="1"/>
  <c r="C318" i="1"/>
  <c r="C311" i="1"/>
  <c r="C36" i="1"/>
  <c r="C297" i="1"/>
  <c r="C504" i="1"/>
  <c r="C90" i="1"/>
  <c r="C170" i="1"/>
  <c r="C288" i="1"/>
  <c r="C115" i="1"/>
  <c r="C511" i="1"/>
  <c r="C196" i="1"/>
  <c r="C174" i="1"/>
  <c r="D10" i="1"/>
  <c r="C450" i="1" s="1"/>
  <c r="C59" i="1"/>
  <c r="C401" i="1"/>
  <c r="C412" i="1"/>
  <c r="C276" i="1"/>
  <c r="C326" i="1"/>
  <c r="C458" i="1"/>
  <c r="C312" i="1"/>
  <c r="C433" i="1"/>
  <c r="C286" i="1"/>
  <c r="C293" i="1"/>
  <c r="C335" i="1"/>
  <c r="C442" i="1"/>
  <c r="C202" i="1"/>
  <c r="C492" i="1"/>
  <c r="C236" i="1"/>
  <c r="C383" i="1"/>
  <c r="C367" i="1"/>
  <c r="C503" i="1"/>
  <c r="C193" i="1"/>
  <c r="C314" i="1"/>
  <c r="C425" i="1"/>
  <c r="C441" i="1"/>
  <c r="C430" i="1"/>
  <c r="C347" i="1"/>
  <c r="C220" i="1"/>
  <c r="C394" i="1"/>
  <c r="C171" i="1"/>
  <c r="C231" i="1"/>
  <c r="C370" i="1"/>
  <c r="C51" i="1"/>
  <c r="C144" i="1"/>
  <c r="C255" i="1"/>
  <c r="C86" i="1"/>
  <c r="C447" i="1"/>
  <c r="C497" i="1"/>
  <c r="C413" i="1"/>
  <c r="C437" i="1"/>
  <c r="C419" i="1"/>
  <c r="C189" i="1"/>
  <c r="C219" i="1"/>
  <c r="C76" i="1"/>
  <c r="C391" i="1"/>
  <c r="C462" i="1"/>
  <c r="C259" i="1"/>
  <c r="C185" i="1"/>
  <c r="C206" i="1"/>
  <c r="C379" i="1"/>
  <c r="C363" i="1"/>
  <c r="C69" i="1"/>
  <c r="C270" i="1"/>
  <c r="C525" i="1"/>
  <c r="C455" i="1"/>
  <c r="C451" i="1"/>
  <c r="C112" i="1"/>
  <c r="C362" i="1"/>
  <c r="C526" i="1"/>
  <c r="C342" i="1"/>
  <c r="C37" i="1"/>
  <c r="C130" i="1"/>
  <c r="C215" i="1"/>
  <c r="C232" i="1"/>
  <c r="C439" i="1"/>
  <c r="C116" i="1"/>
  <c r="C518" i="1"/>
  <c r="C431" i="1"/>
  <c r="C476" i="1"/>
  <c r="C329" i="1"/>
  <c r="C409" i="1"/>
  <c r="C292" i="1"/>
  <c r="C147" i="1"/>
  <c r="C480" i="1"/>
  <c r="C349" i="1"/>
  <c r="C399" i="1"/>
  <c r="C198" i="1"/>
  <c r="C361" i="1"/>
  <c r="C456" i="1"/>
  <c r="C506" i="1"/>
  <c r="C466" i="1"/>
  <c r="C414" i="1"/>
  <c r="C402" i="1"/>
  <c r="C145" i="1"/>
  <c r="C478" i="1"/>
  <c r="C183" i="1"/>
  <c r="C438" i="1"/>
  <c r="C353" i="1"/>
  <c r="C464" i="1"/>
  <c r="C80" i="1"/>
  <c r="C348" i="1"/>
  <c r="C423" i="1"/>
  <c r="C229" i="1"/>
  <c r="C213" i="1"/>
  <c r="C190" i="1"/>
  <c r="C123" i="1"/>
  <c r="C159" i="1"/>
  <c r="C392" i="1"/>
  <c r="C160" i="1"/>
  <c r="C60" i="1"/>
  <c r="C89" i="1"/>
  <c r="C505" i="1"/>
  <c r="C390" i="1"/>
  <c r="C446" i="1"/>
  <c r="C386" i="1"/>
  <c r="C317" i="1"/>
  <c r="C188" i="1"/>
  <c r="C99" i="1"/>
  <c r="C443" i="1"/>
  <c r="C275" i="1"/>
  <c r="C428" i="1"/>
  <c r="C358" i="1"/>
  <c r="C103" i="1"/>
  <c r="C510" i="1"/>
  <c r="C336" i="1"/>
  <c r="C61" i="1"/>
  <c r="C208" i="1"/>
  <c r="C357" i="1"/>
  <c r="C277" i="1"/>
  <c r="C344" i="1"/>
  <c r="C322" i="1"/>
  <c r="C67" i="1"/>
  <c r="C142" i="1"/>
  <c r="C261" i="1"/>
  <c r="C132" i="1"/>
  <c r="C368" i="1"/>
  <c r="C473" i="1"/>
  <c r="C369" i="1"/>
  <c r="C214" i="1"/>
  <c r="C263" i="1"/>
  <c r="C47" i="1"/>
  <c r="C40" i="1"/>
  <c r="C521" i="1"/>
  <c r="C465" i="1"/>
  <c r="C313" i="1"/>
  <c r="C489" i="1"/>
  <c r="C388" i="1"/>
  <c r="C517" i="1"/>
  <c r="C305" i="1"/>
  <c r="C216" i="1"/>
  <c r="C325" i="1"/>
  <c r="C488" i="1"/>
  <c r="C346" i="1"/>
  <c r="C146" i="1"/>
  <c r="C283" i="1"/>
  <c r="C269" i="1"/>
  <c r="C192" i="1"/>
  <c r="C304" i="1"/>
  <c r="C374" i="1"/>
  <c r="C65" i="1"/>
  <c r="C195" i="1"/>
  <c r="C330" i="1"/>
  <c r="C110" i="1"/>
  <c r="C150" i="1"/>
  <c r="C281" i="1"/>
  <c r="C64" i="1"/>
  <c r="C54" i="1"/>
  <c r="C345" i="1"/>
  <c r="C273" i="1" l="1"/>
  <c r="C100" i="1"/>
  <c r="C262" i="1"/>
  <c r="C300" i="1"/>
  <c r="C284" i="1"/>
  <c r="C251" i="1"/>
  <c r="C487" i="1"/>
  <c r="C92" i="1"/>
  <c r="C221" i="1"/>
  <c r="C106" i="1"/>
  <c r="C109" i="1"/>
  <c r="C416" i="1"/>
  <c r="C449" i="1"/>
  <c r="C39" i="1"/>
  <c r="C204" i="1"/>
  <c r="C280" i="1"/>
  <c r="C509" i="1"/>
  <c r="C148" i="1"/>
  <c r="C68" i="1"/>
  <c r="C301" i="1"/>
  <c r="C239" i="1"/>
  <c r="C158" i="1"/>
  <c r="C460" i="1"/>
  <c r="C387" i="1"/>
  <c r="C124" i="1"/>
  <c r="C486" i="1"/>
  <c r="C475" i="1"/>
  <c r="C417" i="1"/>
  <c r="C207" i="1"/>
  <c r="C32" i="1"/>
  <c r="C125" i="1"/>
  <c r="C393" i="1"/>
  <c r="C88" i="1"/>
  <c r="C73" i="1"/>
  <c r="C337" i="1"/>
  <c r="C440" i="1"/>
  <c r="C500" i="1"/>
  <c r="C200" i="1"/>
  <c r="C237" i="1"/>
  <c r="C307" i="1"/>
  <c r="C490" i="1"/>
  <c r="C411" i="1"/>
  <c r="C56" i="1"/>
  <c r="C514" i="1"/>
  <c r="C120" i="1"/>
  <c r="C46" i="1"/>
  <c r="C97" i="1"/>
  <c r="C381" i="1"/>
  <c r="C272" i="1"/>
  <c r="C102" i="1"/>
  <c r="C136" i="1"/>
  <c r="C45" i="1"/>
  <c r="C141" i="1"/>
  <c r="C66" i="1"/>
  <c r="C48" i="1"/>
  <c r="C91" i="1"/>
  <c r="C194" i="1"/>
  <c r="C177" i="1"/>
  <c r="C469" i="1"/>
  <c r="C154" i="1"/>
  <c r="C191" i="1"/>
  <c r="C267" i="1"/>
  <c r="C507" i="1"/>
  <c r="C184" i="1"/>
  <c r="C309" i="1"/>
  <c r="C31" i="1"/>
  <c r="C365" i="1"/>
  <c r="C501" i="1"/>
  <c r="C315" i="1"/>
  <c r="C87" i="1"/>
  <c r="C178" i="1"/>
  <c r="C341" i="1"/>
  <c r="C43" i="1"/>
  <c r="C104" i="1"/>
  <c r="C33" i="1"/>
  <c r="C470" i="1"/>
  <c r="C133" i="1"/>
  <c r="C85" i="1"/>
  <c r="C93" i="1"/>
  <c r="C445" i="1"/>
  <c r="C78" i="1"/>
  <c r="C253" i="1"/>
  <c r="C397" i="1"/>
  <c r="C52" i="1"/>
  <c r="C256" i="1"/>
  <c r="C210" i="1"/>
  <c r="C175" i="1"/>
  <c r="C94" i="1"/>
  <c r="C434" i="1"/>
  <c r="C108" i="1"/>
  <c r="C502" i="1"/>
  <c r="C463" i="1"/>
  <c r="C218" i="1"/>
  <c r="C308" i="1"/>
  <c r="C149" i="1"/>
  <c r="C294" i="1"/>
  <c r="C264" i="1"/>
  <c r="C152" i="1"/>
  <c r="C181" i="1"/>
  <c r="C395" i="1"/>
  <c r="C129" i="1"/>
  <c r="C230" i="1"/>
  <c r="C233" i="1"/>
  <c r="C167" i="1"/>
  <c r="C496" i="1"/>
  <c r="C512" i="1"/>
  <c r="C268" i="1"/>
  <c r="C105" i="1"/>
  <c r="C96" i="1"/>
  <c r="C515" i="1"/>
  <c r="C303" i="1"/>
  <c r="C410" i="1"/>
  <c r="C408" i="1"/>
  <c r="C176" i="1"/>
  <c r="C524" i="1"/>
  <c r="C227" i="1"/>
  <c r="C296" i="1"/>
  <c r="C201" i="1"/>
  <c r="C352" i="1"/>
  <c r="C421" i="1"/>
  <c r="C95" i="1"/>
  <c r="C143" i="1"/>
  <c r="C138" i="1"/>
  <c r="C320" i="1"/>
  <c r="C30" i="1"/>
  <c r="C62" i="1"/>
  <c r="C380" i="1"/>
  <c r="C173" i="1"/>
  <c r="C520" i="1"/>
  <c r="C321" i="1"/>
  <c r="C415" i="1"/>
  <c r="C495" i="1"/>
  <c r="C457" i="1"/>
  <c r="C372" i="1"/>
  <c r="C182" i="1"/>
  <c r="C49" i="1"/>
  <c r="C114" i="1"/>
  <c r="C324" i="1"/>
  <c r="C422" i="1"/>
  <c r="C222" i="1"/>
  <c r="C389" i="1"/>
  <c r="C339" i="1"/>
</calcChain>
</file>

<file path=xl/sharedStrings.xml><?xml version="1.0" encoding="utf-8"?>
<sst xmlns="http://schemas.openxmlformats.org/spreadsheetml/2006/main" count="71" uniqueCount="44">
  <si>
    <t>Inputs</t>
  </si>
  <si>
    <t>Probability</t>
  </si>
  <si>
    <t>Cum Prob</t>
  </si>
  <si>
    <t>Demand</t>
  </si>
  <si>
    <t>Initial Order Cost</t>
  </si>
  <si>
    <t>Later Order Cost</t>
  </si>
  <si>
    <t>Salvage Value</t>
  </si>
  <si>
    <t>Order Quantity</t>
  </si>
  <si>
    <t>Fullprice Sales revenue</t>
  </si>
  <si>
    <t>Disposal Sales revenue</t>
  </si>
  <si>
    <t>Reorder Cost</t>
  </si>
  <si>
    <t>Profit</t>
  </si>
  <si>
    <t>Ordering cars</t>
  </si>
  <si>
    <t>Distribution of demand</t>
  </si>
  <si>
    <t>Selling Price</t>
  </si>
  <si>
    <t>Model</t>
  </si>
  <si>
    <t>Reorder Quantity (if any)</t>
  </si>
  <si>
    <t>Disposal Quantity (if any)</t>
  </si>
  <si>
    <t>Mean</t>
  </si>
  <si>
    <t>St Dev</t>
  </si>
  <si>
    <t>Decision Variable</t>
  </si>
  <si>
    <t>Uncertain Variable</t>
  </si>
  <si>
    <t>Simuation</t>
  </si>
  <si>
    <t>Sim #</t>
  </si>
  <si>
    <t>Random#</t>
  </si>
  <si>
    <t>QUANTITY SOLD</t>
  </si>
  <si>
    <t>SUMMARY TABLE</t>
  </si>
  <si>
    <t>Median</t>
  </si>
  <si>
    <t>St. Dev</t>
  </si>
  <si>
    <t>Max</t>
  </si>
  <si>
    <t>Min</t>
  </si>
  <si>
    <t>(Frozen)</t>
  </si>
  <si>
    <r>
      <rPr>
        <b/>
        <sz val="11"/>
        <rFont val="Calibri"/>
        <family val="2"/>
      </rPr>
      <t xml:space="preserve">SUMMARY: </t>
    </r>
    <r>
      <rPr>
        <sz val="11"/>
        <rFont val="Calibri"/>
        <family val="2"/>
      </rPr>
      <t xml:space="preserve">In order to break even, there is a split where estimated profit goes from negative, to positive. That is, at 30 cars, we break even and do not make much gain. In order to stay competitive, we need to order roughly in the 35-40 car range. It is at this point that the number of cars we sell, can make up for the amount lost by having to return extra cars. </t>
    </r>
  </si>
  <si>
    <t>Quantity Sold</t>
  </si>
  <si>
    <t>Simulation</t>
  </si>
  <si>
    <t>Mean Profit</t>
  </si>
  <si>
    <t>Sim#</t>
  </si>
  <si>
    <t>Order Quantities</t>
  </si>
  <si>
    <t>St. Dev Profit</t>
  </si>
  <si>
    <t>Min Profit</t>
  </si>
  <si>
    <t>Max Profit</t>
  </si>
  <si>
    <t>ReOrder Revenue</t>
  </si>
  <si>
    <t>Salvage Revenue</t>
  </si>
  <si>
    <t>The safest Quantity to order appears to be between 23 and 31 calendars. As we deviate from that range we have to decide if the risk is worth the reward. Going lower, our profit goes down but our risk decreases, going higher our profit could be very large, but we could also lose much more. If it was my decision we would stay within the range where we have the highest average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</si>
</sst>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4" x14ac:knownFonts="1">
    <font>
      <sz val="11"/>
      <name val="Calibri"/>
      <family val="2"/>
    </font>
    <font>
      <b/>
      <sz val="11"/>
      <name val="Calibri"/>
      <family val="2"/>
    </font>
    <font>
      <sz val="11"/>
      <name val="Calibri"/>
      <family val="2"/>
    </font>
    <font>
      <b/>
      <sz val="14"/>
      <name val="Calibri"/>
      <family val="2"/>
    </font>
  </fonts>
  <fills count="10">
    <fill>
      <patternFill patternType="none"/>
    </fill>
    <fill>
      <patternFill patternType="gray125"/>
    </fill>
    <fill>
      <patternFill patternType="solid">
        <fgColor theme="4" tint="0.59996337778862885"/>
        <bgColor indexed="64"/>
      </patternFill>
    </fill>
    <fill>
      <patternFill patternType="solid">
        <fgColor theme="5" tint="0.59996337778862885"/>
        <bgColor indexed="64"/>
      </patternFill>
    </fill>
    <fill>
      <patternFill patternType="solid">
        <fgColor theme="0" tint="-0.24994659260841701"/>
        <bgColor indexed="64"/>
      </patternFill>
    </fill>
    <fill>
      <patternFill patternType="solid">
        <fgColor theme="6" tint="0.59999389629810485"/>
        <bgColor indexed="64"/>
      </patternFill>
    </fill>
    <fill>
      <patternFill patternType="solid">
        <fgColor theme="1"/>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6" tint="0.79998168889431442"/>
        <bgColor indexed="64"/>
      </patternFill>
    </fill>
  </fills>
  <borders count="2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s>
  <cellStyleXfs count="2">
    <xf numFmtId="0" fontId="0" fillId="0" borderId="0"/>
    <xf numFmtId="9" fontId="2" fillId="0" borderId="0" applyFont="0" applyFill="0" applyBorder="0" applyAlignment="0" applyProtection="0"/>
  </cellStyleXfs>
  <cellXfs count="93">
    <xf numFmtId="0" fontId="0" fillId="0" borderId="0" xfId="0"/>
    <xf numFmtId="0" fontId="1" fillId="0" borderId="0" xfId="0" applyFont="1"/>
    <xf numFmtId="0" fontId="2" fillId="0" borderId="0" xfId="0" applyFont="1"/>
    <xf numFmtId="164" fontId="2" fillId="2" borderId="0" xfId="0" applyNumberFormat="1" applyFont="1" applyFill="1"/>
    <xf numFmtId="0" fontId="2" fillId="0" borderId="0" xfId="0" applyFont="1" applyAlignment="1">
      <alignment horizontal="right"/>
    </xf>
    <xf numFmtId="0" fontId="2" fillId="2" borderId="0" xfId="0" applyFont="1" applyFill="1"/>
    <xf numFmtId="2" fontId="2" fillId="2" borderId="0" xfId="0" applyNumberFormat="1" applyFont="1" applyFill="1"/>
    <xf numFmtId="164" fontId="2" fillId="0" borderId="0" xfId="0" applyNumberFormat="1" applyFont="1"/>
    <xf numFmtId="0" fontId="2" fillId="3" borderId="0" xfId="0" applyFont="1" applyFill="1"/>
    <xf numFmtId="164" fontId="2" fillId="4" borderId="0" xfId="0" applyNumberFormat="1" applyFont="1" applyFill="1"/>
    <xf numFmtId="0" fontId="2" fillId="5" borderId="0" xfId="0" applyFont="1" applyFill="1"/>
    <xf numFmtId="9" fontId="2" fillId="0" borderId="0" xfId="1" applyFont="1"/>
    <xf numFmtId="1" fontId="2" fillId="2" borderId="0" xfId="0" applyNumberFormat="1" applyFont="1" applyFill="1"/>
    <xf numFmtId="165" fontId="2" fillId="0" borderId="0" xfId="0" applyNumberFormat="1" applyFont="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0" fillId="0" borderId="4" xfId="0" applyBorder="1"/>
    <xf numFmtId="165" fontId="2" fillId="0" borderId="6" xfId="0" applyNumberFormat="1" applyFont="1" applyBorder="1"/>
    <xf numFmtId="165" fontId="2" fillId="0" borderId="7" xfId="0" applyNumberFormat="1" applyFont="1" applyBorder="1"/>
    <xf numFmtId="165" fontId="2" fillId="0" borderId="8" xfId="0" applyNumberFormat="1" applyFont="1" applyBorder="1"/>
    <xf numFmtId="165" fontId="2" fillId="0" borderId="9" xfId="0" applyNumberFormat="1" applyFont="1" applyBorder="1"/>
    <xf numFmtId="165" fontId="2" fillId="0" borderId="11" xfId="0" applyNumberFormat="1" applyFont="1" applyBorder="1"/>
    <xf numFmtId="165" fontId="2" fillId="0" borderId="12" xfId="0" applyNumberFormat="1" applyFont="1" applyBorder="1"/>
    <xf numFmtId="165" fontId="2" fillId="0" borderId="14" xfId="0" applyNumberFormat="1" applyFont="1" applyBorder="1"/>
    <xf numFmtId="0" fontId="2" fillId="0" borderId="15" xfId="0" applyFont="1" applyBorder="1"/>
    <xf numFmtId="0" fontId="2" fillId="0" borderId="16" xfId="0" applyFont="1" applyBorder="1"/>
    <xf numFmtId="0" fontId="0" fillId="0" borderId="16" xfId="0" applyBorder="1"/>
    <xf numFmtId="0" fontId="0" fillId="0" borderId="17" xfId="0" applyBorder="1"/>
    <xf numFmtId="0" fontId="2" fillId="0" borderId="11" xfId="0" applyFont="1" applyBorder="1"/>
    <xf numFmtId="0" fontId="2" fillId="0" borderId="12" xfId="0" applyFont="1" applyBorder="1"/>
    <xf numFmtId="0" fontId="1" fillId="0" borderId="3" xfId="0" applyFont="1" applyBorder="1"/>
    <xf numFmtId="0" fontId="1" fillId="0" borderId="5" xfId="0" applyFont="1" applyBorder="1"/>
    <xf numFmtId="0" fontId="0" fillId="0" borderId="9" xfId="0" applyBorder="1"/>
    <xf numFmtId="0" fontId="1" fillId="0" borderId="6" xfId="0" applyFont="1" applyBorder="1"/>
    <xf numFmtId="0" fontId="1" fillId="0" borderId="7" xfId="0" applyFont="1" applyBorder="1"/>
    <xf numFmtId="0" fontId="0" fillId="0" borderId="11" xfId="0" applyBorder="1"/>
    <xf numFmtId="0" fontId="2" fillId="7" borderId="11" xfId="0" applyFont="1" applyFill="1" applyBorder="1"/>
    <xf numFmtId="0" fontId="2" fillId="7" borderId="12" xfId="0" applyFont="1" applyFill="1" applyBorder="1"/>
    <xf numFmtId="0" fontId="1" fillId="0" borderId="15" xfId="0" applyFont="1" applyBorder="1"/>
    <xf numFmtId="164" fontId="1" fillId="9" borderId="18" xfId="0" applyNumberFormat="1" applyFont="1" applyFill="1" applyBorder="1"/>
    <xf numFmtId="0" fontId="1" fillId="9" borderId="15" xfId="0" applyFont="1" applyFill="1" applyBorder="1"/>
    <xf numFmtId="0" fontId="1" fillId="9" borderId="16" xfId="0" applyFont="1" applyFill="1" applyBorder="1"/>
    <xf numFmtId="0" fontId="1" fillId="9" borderId="17" xfId="0" applyFont="1" applyFill="1" applyBorder="1"/>
    <xf numFmtId="0" fontId="2" fillId="0" borderId="13" xfId="0" applyFont="1" applyBorder="1"/>
    <xf numFmtId="165" fontId="2" fillId="0" borderId="3" xfId="0" applyNumberFormat="1" applyFont="1" applyBorder="1"/>
    <xf numFmtId="165" fontId="2" fillId="0" borderId="4" xfId="0" applyNumberFormat="1" applyFont="1" applyBorder="1"/>
    <xf numFmtId="165" fontId="2" fillId="0" borderId="5" xfId="0" applyNumberFormat="1" applyFont="1" applyBorder="1"/>
    <xf numFmtId="0" fontId="0" fillId="0" borderId="6" xfId="0"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2" xfId="0" applyFont="1" applyBorder="1" applyAlignment="1">
      <alignment horizontal="left" vertical="top" wrapText="1"/>
    </xf>
    <xf numFmtId="0" fontId="2" fillId="0" borderId="13" xfId="0" applyFont="1" applyBorder="1" applyAlignment="1">
      <alignment horizontal="left" vertical="top" wrapText="1"/>
    </xf>
    <xf numFmtId="0" fontId="1" fillId="8" borderId="3" xfId="0" applyFont="1" applyFill="1" applyBorder="1" applyAlignment="1">
      <alignment horizontal="left"/>
    </xf>
    <xf numFmtId="0" fontId="1" fillId="8" borderId="4" xfId="0" applyFont="1" applyFill="1" applyBorder="1" applyAlignment="1">
      <alignment horizontal="left"/>
    </xf>
    <xf numFmtId="0" fontId="1" fillId="8" borderId="5" xfId="0" applyFont="1" applyFill="1" applyBorder="1" applyAlignment="1">
      <alignment horizontal="left"/>
    </xf>
    <xf numFmtId="0" fontId="3" fillId="9" borderId="6" xfId="0" applyFont="1" applyFill="1" applyBorder="1" applyAlignment="1">
      <alignment horizontal="left" vertical="top" wrapText="1"/>
    </xf>
    <xf numFmtId="0" fontId="3" fillId="9" borderId="7" xfId="0" applyFont="1" applyFill="1" applyBorder="1" applyAlignment="1">
      <alignment horizontal="left" vertical="top" wrapText="1"/>
    </xf>
    <xf numFmtId="0" fontId="3" fillId="9" borderId="8" xfId="0" applyFont="1" applyFill="1" applyBorder="1" applyAlignment="1">
      <alignment horizontal="left" vertical="top" wrapText="1"/>
    </xf>
    <xf numFmtId="0" fontId="3" fillId="9" borderId="9" xfId="0" applyFont="1" applyFill="1" applyBorder="1" applyAlignment="1">
      <alignment horizontal="left" vertical="top" wrapText="1"/>
    </xf>
    <xf numFmtId="0" fontId="3" fillId="9" borderId="0" xfId="0" applyFont="1" applyFill="1" applyAlignment="1">
      <alignment horizontal="left" vertical="top" wrapText="1"/>
    </xf>
    <xf numFmtId="0" fontId="3" fillId="9" borderId="10" xfId="0" applyFont="1" applyFill="1" applyBorder="1" applyAlignment="1">
      <alignment horizontal="left" vertical="top" wrapText="1"/>
    </xf>
    <xf numFmtId="0" fontId="3" fillId="9" borderId="11" xfId="0" applyFont="1" applyFill="1" applyBorder="1" applyAlignment="1">
      <alignment horizontal="left" vertical="top" wrapText="1"/>
    </xf>
    <xf numFmtId="0" fontId="3" fillId="9" borderId="12" xfId="0" applyFont="1" applyFill="1" applyBorder="1" applyAlignment="1">
      <alignment horizontal="left" vertical="top" wrapText="1"/>
    </xf>
    <xf numFmtId="0" fontId="3" fillId="9" borderId="13" xfId="0" applyFont="1" applyFill="1" applyBorder="1" applyAlignment="1">
      <alignment horizontal="left" vertical="top" wrapText="1"/>
    </xf>
    <xf numFmtId="0" fontId="2" fillId="0" borderId="0" xfId="0" applyFont="1" applyBorder="1"/>
    <xf numFmtId="0" fontId="0" fillId="0" borderId="0" xfId="0" applyBorder="1"/>
    <xf numFmtId="165" fontId="2" fillId="0" borderId="0" xfId="0" applyNumberFormat="1" applyFont="1" applyBorder="1"/>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2" fillId="6" borderId="3" xfId="0" applyFont="1" applyFill="1" applyBorder="1"/>
    <xf numFmtId="0" fontId="2" fillId="0" borderId="0" xfId="0" applyFont="1" applyBorder="1" applyAlignment="1">
      <alignment horizontal="left" vertical="top" wrapText="1"/>
    </xf>
    <xf numFmtId="165" fontId="2" fillId="0" borderId="19" xfId="0" applyNumberFormat="1" applyFont="1" applyBorder="1"/>
    <xf numFmtId="0" fontId="0" fillId="0" borderId="18" xfId="0" applyBorder="1"/>
    <xf numFmtId="4" fontId="2" fillId="0" borderId="15" xfId="0" applyNumberFormat="1" applyFont="1" applyBorder="1"/>
    <xf numFmtId="4" fontId="2" fillId="0" borderId="16" xfId="0" applyNumberFormat="1" applyFont="1" applyBorder="1"/>
    <xf numFmtId="4" fontId="2" fillId="0" borderId="17" xfId="0" applyNumberFormat="1" applyFont="1" applyBorder="1"/>
    <xf numFmtId="0" fontId="1" fillId="0" borderId="0" xfId="0" applyFont="1" applyBorder="1"/>
    <xf numFmtId="0" fontId="2" fillId="0" borderId="18" xfId="0" applyFont="1" applyBorder="1"/>
    <xf numFmtId="165" fontId="2" fillId="0" borderId="15" xfId="0" applyNumberFormat="1" applyFont="1" applyBorder="1"/>
    <xf numFmtId="165" fontId="2" fillId="0" borderId="16" xfId="0" applyNumberFormat="1" applyFont="1" applyBorder="1"/>
    <xf numFmtId="165" fontId="2" fillId="0" borderId="17" xfId="0" applyNumberFormat="1" applyFont="1" applyBorder="1"/>
    <xf numFmtId="164" fontId="1" fillId="0" borderId="12" xfId="0" applyNumberFormat="1" applyFont="1" applyBorder="1"/>
    <xf numFmtId="164" fontId="1" fillId="0" borderId="13" xfId="0" applyNumberFormat="1" applyFont="1" applyBorder="1"/>
    <xf numFmtId="0" fontId="1" fillId="0" borderId="4" xfId="0" applyFont="1" applyBorder="1"/>
    <xf numFmtId="164" fontId="1" fillId="0" borderId="11" xfId="0" applyNumberFormat="1" applyFont="1" applyBorder="1"/>
    <xf numFmtId="1" fontId="2" fillId="5" borderId="10" xfId="0" applyNumberFormat="1" applyFont="1" applyFill="1" applyBorder="1"/>
    <xf numFmtId="1" fontId="2" fillId="5" borderId="13" xfId="0" applyNumberFormat="1" applyFont="1" applyFill="1" applyBorder="1"/>
  </cellXfs>
  <cellStyles count="2">
    <cellStyle name="Normal" xfId="0" builtinId="0" customBuiltin="1"/>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solidFill>
                  <a:sysClr val="windowText" lastClr="000000"/>
                </a:solidFill>
              </a:rPr>
              <a:t>Expected Profit based on Order</a:t>
            </a:r>
            <a:r>
              <a:rPr lang="en-US" sz="1800" b="1" baseline="0">
                <a:solidFill>
                  <a:sysClr val="windowText" lastClr="000000"/>
                </a:solidFill>
              </a:rPr>
              <a:t> Quantity and Simulated Demand</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3.5314402100099923E-2"/>
          <c:y val="9.3473108748140923E-2"/>
          <c:w val="0.92151726069338646"/>
          <c:h val="0.84052939790404857"/>
        </c:manualLayout>
      </c:layout>
      <c:barChart>
        <c:barDir val="bar"/>
        <c:grouping val="clustered"/>
        <c:varyColors val="0"/>
        <c:ser>
          <c:idx val="0"/>
          <c:order val="0"/>
          <c:tx>
            <c:strRef>
              <c:f>'Normal Dist Demand'!$G$4</c:f>
              <c:strCache>
                <c:ptCount val="1"/>
                <c:pt idx="0">
                  <c:v>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'Normal Dist Demand'!$H$3:$AB$3</c:f>
              <c:strCache>
                <c:ptCount val="1"/>
                <c:pt idx="0">
                  <c:v>Order Quantities</c:v>
                </c:pt>
              </c:strCache>
            </c:strRef>
          </c:cat>
          <c:val>
            <c:numRef>
              <c:f>'Normal Dist Demand'!$H$4:$AB$4</c:f>
              <c:numCache>
                <c:formatCode>General</c:formatCode>
                <c:ptCount val="21"/>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numCache>
            </c:numRef>
          </c:val>
          <c:extLst>
            <c:ext xmlns:c16="http://schemas.microsoft.com/office/drawing/2014/chart" uri="{C3380CC4-5D6E-409C-BE32-E72D297353CC}">
              <c16:uniqueId val="{00000000-32CC-4B54-90DB-ADEA6B13A4FE}"/>
            </c:ext>
          </c:extLst>
        </c:ser>
        <c:ser>
          <c:idx val="1"/>
          <c:order val="1"/>
          <c:tx>
            <c:strRef>
              <c:f>'Normal Dist Demand'!$G$5</c:f>
              <c:strCache>
                <c:ptCount val="1"/>
                <c:pt idx="0">
                  <c:v>Mean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'Normal Dist Demand'!$H$3:$AB$3</c:f>
              <c:strCache>
                <c:ptCount val="1"/>
                <c:pt idx="0">
                  <c:v>Order Quantities</c:v>
                </c:pt>
              </c:strCache>
            </c:strRef>
          </c:cat>
          <c:val>
            <c:numRef>
              <c:f>'Normal Dist Demand'!$H$5:$AB$5</c:f>
              <c:numCache>
                <c:formatCode>"$"#,##0.00</c:formatCode>
                <c:ptCount val="21"/>
                <c:pt idx="0">
                  <c:v>125787.72212863858</c:v>
                </c:pt>
                <c:pt idx="1">
                  <c:v>126989.20516803928</c:v>
                </c:pt>
                <c:pt idx="2">
                  <c:v>128084.35639676919</c:v>
                </c:pt>
                <c:pt idx="3">
                  <c:v>129078.80242112844</c:v>
                </c:pt>
                <c:pt idx="4">
                  <c:v>129841.5193544709</c:v>
                </c:pt>
                <c:pt idx="5">
                  <c:v>130406.66905927476</c:v>
                </c:pt>
                <c:pt idx="6">
                  <c:v>130786.97302128767</c:v>
                </c:pt>
                <c:pt idx="7">
                  <c:v>130950.00489638574</c:v>
                </c:pt>
                <c:pt idx="8">
                  <c:v>130899.83944763675</c:v>
                </c:pt>
                <c:pt idx="9">
                  <c:v>130679.96441270931</c:v>
                </c:pt>
                <c:pt idx="10">
                  <c:v>130250.96929334477</c:v>
                </c:pt>
                <c:pt idx="11">
                  <c:v>129673.65473902835</c:v>
                </c:pt>
                <c:pt idx="12">
                  <c:v>128892.60451020297</c:v>
                </c:pt>
                <c:pt idx="13">
                  <c:v>127822.24309579293</c:v>
                </c:pt>
                <c:pt idx="14">
                  <c:v>126564.68958126327</c:v>
                </c:pt>
                <c:pt idx="15">
                  <c:v>125138.4402236497</c:v>
                </c:pt>
                <c:pt idx="16">
                  <c:v>123535.56788099036</c:v>
                </c:pt>
                <c:pt idx="17">
                  <c:v>121821.17379522005</c:v>
                </c:pt>
                <c:pt idx="18">
                  <c:v>119970.1661768826</c:v>
                </c:pt>
                <c:pt idx="19">
                  <c:v>117980.1215406385</c:v>
                </c:pt>
                <c:pt idx="20">
                  <c:v>115810.43779509432</c:v>
                </c:pt>
              </c:numCache>
            </c:numRef>
          </c:val>
          <c:extLst>
            <c:ext xmlns:c16="http://schemas.microsoft.com/office/drawing/2014/chart" uri="{C3380CC4-5D6E-409C-BE32-E72D297353CC}">
              <c16:uniqueId val="{00000001-32CC-4B54-90DB-ADEA6B13A4FE}"/>
            </c:ext>
          </c:extLst>
        </c:ser>
        <c:dLbls>
          <c:dLblPos val="outEnd"/>
          <c:showLegendKey val="0"/>
          <c:showVal val="1"/>
          <c:showCatName val="0"/>
          <c:showSerName val="0"/>
          <c:showPercent val="0"/>
          <c:showBubbleSize val="0"/>
        </c:dLbls>
        <c:gapWidth val="182"/>
        <c:axId val="1271092480"/>
        <c:axId val="1271096800"/>
      </c:barChart>
      <c:catAx>
        <c:axId val="127109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096800"/>
        <c:crosses val="autoZero"/>
        <c:auto val="1"/>
        <c:lblAlgn val="ctr"/>
        <c:lblOffset val="100"/>
        <c:noMultiLvlLbl val="0"/>
      </c:catAx>
      <c:valAx>
        <c:axId val="1271096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09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152400</xdr:rowOff>
    </xdr:from>
    <xdr:to>
      <xdr:col>15</xdr:col>
      <xdr:colOff>50800</xdr:colOff>
      <xdr:row>12</xdr:row>
      <xdr:rowOff>12700</xdr:rowOff>
    </xdr:to>
    <xdr:sp macro="" textlink="">
      <xdr:nvSpPr>
        <xdr:cNvPr id="2" name="TextBox 1">
          <a:extLst>
            <a:ext uri="{FF2B5EF4-FFF2-40B4-BE49-F238E27FC236}">
              <a16:creationId xmlns:a16="http://schemas.microsoft.com/office/drawing/2014/main" id="{A9F10ED8-D9D7-908D-1C9A-A7422A90134A}"/>
            </a:ext>
          </a:extLst>
        </xdr:cNvPr>
        <xdr:cNvSpPr txBox="1"/>
      </xdr:nvSpPr>
      <xdr:spPr>
        <a:xfrm>
          <a:off x="5664200" y="336550"/>
          <a:ext cx="5181600" cy="188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In August , a car dealer is trying to determine how many cars of the next model year to order. Each car ordered in August costs $20,000. The demand for the dealer’s next year models has the probability distribution shown in this file. Each car sells for $25,000. If demand for next year’s cars exceeds the number of cars ordered in August, the dealer must reorder at a cost of $22,000 per car. Excess cars can be disposed of at $17,000 per car. Use simulation to determine how many cars to order in August.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825501</xdr:colOff>
      <xdr:row>11</xdr:row>
      <xdr:rowOff>31751</xdr:rowOff>
    </xdr:from>
    <xdr:to>
      <xdr:col>36</xdr:col>
      <xdr:colOff>8922</xdr:colOff>
      <xdr:row>37</xdr:row>
      <xdr:rowOff>133048</xdr:rowOff>
    </xdr:to>
    <xdr:graphicFrame macro="">
      <xdr:nvGraphicFramePr>
        <xdr:cNvPr id="2" name="Chart 1">
          <a:extLst>
            <a:ext uri="{FF2B5EF4-FFF2-40B4-BE49-F238E27FC236}">
              <a16:creationId xmlns:a16="http://schemas.microsoft.com/office/drawing/2014/main" id="{FBF32481-5DC4-73FF-088A-02D3656D88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979063C-0A45-4CE1-A6DA-272482E57B40}">
  <we:reference id="wa200006009" version="2.1.3.10" store="en-US" storeType="OMEX"/>
  <we:alternateReferences>
    <we:reference id="wa200006009" version="2.1.3.10" store="wa20000600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527"/>
  <sheetViews>
    <sheetView tabSelected="1" zoomScale="85" zoomScaleNormal="85" workbookViewId="0">
      <pane ySplit="10410" topLeftCell="A1036"/>
      <selection activeCell="B10" sqref="B10"/>
      <selection pane="bottomLeft" activeCell="A1028" sqref="A1028"/>
    </sheetView>
  </sheetViews>
  <sheetFormatPr defaultColWidth="9.1796875" defaultRowHeight="14.5" x14ac:dyDescent="0.35"/>
  <cols>
    <col min="1" max="1" width="23.7265625" style="2" customWidth="1"/>
    <col min="2" max="2" width="11.453125" style="2" customWidth="1"/>
    <col min="3" max="3" width="17.54296875" style="2" bestFit="1" customWidth="1"/>
    <col min="4" max="4" width="20.36328125" style="2" bestFit="1" customWidth="1"/>
    <col min="5" max="5" width="19.90625" style="2" bestFit="1" customWidth="1"/>
    <col min="6" max="6" width="19.7265625" style="2" customWidth="1"/>
    <col min="7" max="7" width="21.54296875" style="2" customWidth="1"/>
    <col min="8" max="8" width="22.7265625" style="2" customWidth="1"/>
    <col min="9" max="9" width="18.08984375" style="2" customWidth="1"/>
    <col min="10" max="10" width="18.36328125" style="2" customWidth="1"/>
    <col min="11" max="11" width="21.54296875" style="2" bestFit="1" customWidth="1"/>
    <col min="12" max="13" width="12.7265625" style="2" bestFit="1" customWidth="1"/>
    <col min="14" max="16384" width="9.1796875" style="2"/>
  </cols>
  <sheetData>
    <row r="1" spans="1:15" x14ac:dyDescent="0.35">
      <c r="A1" s="1" t="s">
        <v>12</v>
      </c>
      <c r="B1" s="1"/>
    </row>
    <row r="3" spans="1:15" x14ac:dyDescent="0.35">
      <c r="A3" s="1" t="s">
        <v>0</v>
      </c>
      <c r="D3" s="2" t="s">
        <v>13</v>
      </c>
    </row>
    <row r="4" spans="1:15" x14ac:dyDescent="0.35">
      <c r="A4" t="s">
        <v>14</v>
      </c>
      <c r="B4" s="3">
        <v>25000</v>
      </c>
      <c r="D4" s="4" t="s">
        <v>2</v>
      </c>
      <c r="E4" s="4" t="s">
        <v>3</v>
      </c>
      <c r="F4" s="4" t="s">
        <v>1</v>
      </c>
    </row>
    <row r="5" spans="1:15" x14ac:dyDescent="0.35">
      <c r="A5" s="2" t="s">
        <v>4</v>
      </c>
      <c r="B5" s="3">
        <v>20000</v>
      </c>
      <c r="D5" s="11">
        <v>0</v>
      </c>
      <c r="E5" s="5">
        <v>20</v>
      </c>
      <c r="F5" s="6">
        <v>0.3</v>
      </c>
    </row>
    <row r="6" spans="1:15" x14ac:dyDescent="0.35">
      <c r="A6" s="2" t="s">
        <v>5</v>
      </c>
      <c r="B6" s="3">
        <v>22000</v>
      </c>
      <c r="D6" s="11">
        <f>D5+F5</f>
        <v>0.3</v>
      </c>
      <c r="E6" s="5">
        <v>25</v>
      </c>
      <c r="F6" s="6">
        <v>0.15</v>
      </c>
    </row>
    <row r="7" spans="1:15" x14ac:dyDescent="0.35">
      <c r="A7" s="2" t="s">
        <v>6</v>
      </c>
      <c r="B7" s="3">
        <v>17000</v>
      </c>
      <c r="D7" s="11">
        <f>D6+F6</f>
        <v>0.44999999999999996</v>
      </c>
      <c r="E7" s="5">
        <v>30</v>
      </c>
      <c r="F7" s="6">
        <v>0.15</v>
      </c>
    </row>
    <row r="8" spans="1:15" x14ac:dyDescent="0.35">
      <c r="A8" s="1" t="s">
        <v>20</v>
      </c>
      <c r="B8" s="7"/>
      <c r="D8" s="11">
        <f>D7+F7</f>
        <v>0.6</v>
      </c>
      <c r="E8" s="5">
        <v>35</v>
      </c>
      <c r="F8" s="6">
        <v>0.2</v>
      </c>
    </row>
    <row r="9" spans="1:15" x14ac:dyDescent="0.35">
      <c r="A9" s="2" t="s">
        <v>7</v>
      </c>
      <c r="B9" s="8">
        <v>30</v>
      </c>
      <c r="D9" s="11">
        <f>D8+F8</f>
        <v>0.8</v>
      </c>
      <c r="E9" s="5">
        <v>40</v>
      </c>
      <c r="F9" s="6">
        <v>0.2</v>
      </c>
    </row>
    <row r="10" spans="1:15" x14ac:dyDescent="0.35">
      <c r="A10" s="1" t="s">
        <v>21</v>
      </c>
      <c r="B10" s="7"/>
      <c r="D10" s="11">
        <f>D9+F9</f>
        <v>1</v>
      </c>
    </row>
    <row r="11" spans="1:15" x14ac:dyDescent="0.35">
      <c r="A11" s="2" t="s">
        <v>3</v>
      </c>
      <c r="B11" s="10">
        <v>30</v>
      </c>
    </row>
    <row r="13" spans="1:15" x14ac:dyDescent="0.35">
      <c r="A13" s="1" t="s">
        <v>15</v>
      </c>
    </row>
    <row r="14" spans="1:15" ht="15" thickBot="1" x14ac:dyDescent="0.4">
      <c r="A14" t="s">
        <v>16</v>
      </c>
      <c r="B14" s="2">
        <f>MAX(B11-B9,0)</f>
        <v>0</v>
      </c>
      <c r="C14" s="2" t="str">
        <f ca="1">_xlfn.FORMULATEXT(B14)</f>
        <v>=MAX(B11-B9,0)</v>
      </c>
      <c r="N14" s="1"/>
      <c r="O14" s="1"/>
    </row>
    <row r="15" spans="1:15" ht="15" thickBot="1" x14ac:dyDescent="0.4">
      <c r="A15" t="s">
        <v>17</v>
      </c>
      <c r="B15" s="2">
        <f>MAX(B9-B11,0)</f>
        <v>0</v>
      </c>
      <c r="C15" s="2" t="str">
        <f ca="1">_xlfn.FORMULATEXT(B15)</f>
        <v>=MAX(B9-B11,0)</v>
      </c>
      <c r="E15" s="72" t="s">
        <v>26</v>
      </c>
      <c r="F15" s="73"/>
      <c r="G15" s="73"/>
      <c r="H15" s="73"/>
      <c r="I15" s="73"/>
      <c r="J15" s="73"/>
      <c r="K15" s="74"/>
      <c r="L15" s="82"/>
      <c r="M15" s="82"/>
    </row>
    <row r="16" spans="1:15" ht="15" thickBot="1" x14ac:dyDescent="0.4">
      <c r="A16" t="s">
        <v>25</v>
      </c>
      <c r="B16" s="2">
        <f>MIN(B9,B11)</f>
        <v>30</v>
      </c>
      <c r="C16" s="2" t="str">
        <f ca="1">_xlfn.FORMULATEXT(B16)</f>
        <v>=MIN(B9,B11)</v>
      </c>
      <c r="E16" s="75"/>
      <c r="F16" s="16" t="str">
        <f>D26</f>
        <v>Fullprice Sales revenue</v>
      </c>
      <c r="G16" s="16" t="str">
        <f t="shared" ref="G16:K16" si="0">E26</f>
        <v>Disposal Sales revenue</v>
      </c>
      <c r="H16" s="16" t="str">
        <f t="shared" si="0"/>
        <v>Initial Order Cost</v>
      </c>
      <c r="I16" s="16" t="str">
        <f t="shared" si="0"/>
        <v>ReOrder Revenue</v>
      </c>
      <c r="J16" s="16" t="str">
        <f t="shared" si="0"/>
        <v>Reorder Cost</v>
      </c>
      <c r="K16" s="83" t="str">
        <f t="shared" si="0"/>
        <v>Profit</v>
      </c>
      <c r="L16" s="70"/>
      <c r="M16" s="70"/>
    </row>
    <row r="17" spans="1:14" x14ac:dyDescent="0.35">
      <c r="A17"/>
      <c r="E17" s="26" t="s">
        <v>18</v>
      </c>
      <c r="F17" s="19">
        <f>AVERAGE(D28:D527)</f>
        <v>656000</v>
      </c>
      <c r="G17" s="19">
        <f t="shared" ref="G17:K17" si="1">AVERAGE(E28:E527)</f>
        <v>63920</v>
      </c>
      <c r="H17" s="19">
        <f t="shared" si="1"/>
        <v>600000</v>
      </c>
      <c r="I17" s="19">
        <f t="shared" si="1"/>
        <v>77750</v>
      </c>
      <c r="J17" s="19">
        <f t="shared" si="1"/>
        <v>68420</v>
      </c>
      <c r="K17" s="84">
        <f t="shared" si="1"/>
        <v>129250</v>
      </c>
      <c r="L17" s="69"/>
      <c r="M17" s="69"/>
    </row>
    <row r="18" spans="1:14" x14ac:dyDescent="0.35">
      <c r="E18" s="27" t="s">
        <v>27</v>
      </c>
      <c r="F18" s="22">
        <f>MEDIAN(D28:D527)</f>
        <v>750000</v>
      </c>
      <c r="G18" s="22">
        <f t="shared" ref="G18:K18" si="2">MEDIAN(E28:E527)</f>
        <v>0</v>
      </c>
      <c r="H18" s="22">
        <f t="shared" si="2"/>
        <v>600000</v>
      </c>
      <c r="I18" s="22">
        <f t="shared" si="2"/>
        <v>0</v>
      </c>
      <c r="J18" s="22">
        <f t="shared" si="2"/>
        <v>0</v>
      </c>
      <c r="K18" s="85">
        <f t="shared" si="2"/>
        <v>150000</v>
      </c>
      <c r="L18" s="69"/>
      <c r="M18" s="69"/>
    </row>
    <row r="19" spans="1:14" x14ac:dyDescent="0.35">
      <c r="A19" s="2" t="s">
        <v>8</v>
      </c>
      <c r="B19" s="7">
        <f>MIN(B9,B11)*B4</f>
        <v>750000</v>
      </c>
      <c r="C19" s="2" t="str">
        <f t="shared" ref="C19:C23" ca="1" si="3">_xlfn.FORMULATEXT(B19)</f>
        <v>=MIN(B9,B11)*B4</v>
      </c>
      <c r="E19" s="27" t="s">
        <v>28</v>
      </c>
      <c r="F19" s="22">
        <f>_xlfn.STDEV.P(D28:D527)</f>
        <v>111418.13137905339</v>
      </c>
      <c r="G19" s="22">
        <f t="shared" ref="G19:K19" si="4">_xlfn.STDEV.P(E28:E527)</f>
        <v>75764.329337756295</v>
      </c>
      <c r="H19" s="22">
        <f t="shared" si="4"/>
        <v>0</v>
      </c>
      <c r="I19" s="22">
        <f t="shared" si="4"/>
        <v>99303.512022485898</v>
      </c>
      <c r="J19" s="22">
        <f t="shared" si="4"/>
        <v>87387.090579787589</v>
      </c>
      <c r="K19" s="85">
        <f t="shared" si="4"/>
        <v>44435.205636972132</v>
      </c>
      <c r="L19" s="69"/>
      <c r="M19" s="69"/>
    </row>
    <row r="20" spans="1:14" x14ac:dyDescent="0.35">
      <c r="A20" s="2" t="s">
        <v>9</v>
      </c>
      <c r="B20" s="7">
        <f>B15*B7</f>
        <v>0</v>
      </c>
      <c r="C20" s="2" t="str">
        <f t="shared" ca="1" si="3"/>
        <v>=B15*B7</v>
      </c>
      <c r="E20" s="28" t="s">
        <v>29</v>
      </c>
      <c r="F20" s="22">
        <f>MAX(D28:D527)</f>
        <v>750000</v>
      </c>
      <c r="G20" s="22">
        <f t="shared" ref="G20:K20" si="5">MAX(E28:E527)</f>
        <v>170000</v>
      </c>
      <c r="H20" s="22">
        <f t="shared" si="5"/>
        <v>600000</v>
      </c>
      <c r="I20" s="22">
        <f t="shared" si="5"/>
        <v>250000</v>
      </c>
      <c r="J20" s="22">
        <f t="shared" si="5"/>
        <v>220000</v>
      </c>
      <c r="K20" s="85">
        <f t="shared" si="5"/>
        <v>180000</v>
      </c>
      <c r="L20" s="69"/>
      <c r="M20" s="70"/>
    </row>
    <row r="21" spans="1:14" ht="15" thickBot="1" x14ac:dyDescent="0.4">
      <c r="A21" s="2" t="s">
        <v>4</v>
      </c>
      <c r="B21" s="7">
        <f>B9*B5</f>
        <v>600000</v>
      </c>
      <c r="C21" s="2" t="str">
        <f t="shared" ca="1" si="3"/>
        <v>=B9*B5</v>
      </c>
      <c r="E21" s="29" t="s">
        <v>30</v>
      </c>
      <c r="F21" s="23">
        <f>MIN(D28:D527)</f>
        <v>500000</v>
      </c>
      <c r="G21" s="23">
        <f t="shared" ref="G21:K21" si="6">MIN(E28:E527)</f>
        <v>0</v>
      </c>
      <c r="H21" s="23">
        <f t="shared" si="6"/>
        <v>600000</v>
      </c>
      <c r="I21" s="23">
        <f t="shared" si="6"/>
        <v>0</v>
      </c>
      <c r="J21" s="23">
        <f t="shared" si="6"/>
        <v>0</v>
      </c>
      <c r="K21" s="86">
        <f t="shared" si="6"/>
        <v>70000</v>
      </c>
      <c r="L21" s="69"/>
      <c r="M21" s="70"/>
    </row>
    <row r="22" spans="1:14" x14ac:dyDescent="0.35">
      <c r="A22" s="2" t="s">
        <v>41</v>
      </c>
      <c r="B22" s="7">
        <f>B14*B4</f>
        <v>0</v>
      </c>
      <c r="C22" s="2" t="str">
        <f t="shared" ca="1" si="3"/>
        <v>=B14*B4</v>
      </c>
      <c r="L22" s="69"/>
      <c r="M22" s="70"/>
    </row>
    <row r="23" spans="1:14" x14ac:dyDescent="0.35">
      <c r="A23" s="2" t="s">
        <v>10</v>
      </c>
      <c r="B23" s="7">
        <f>B6*B14</f>
        <v>0</v>
      </c>
      <c r="C23" s="2" t="str">
        <f t="shared" ref="C23:C24" ca="1" si="7">_xlfn.FORMULATEXT(B23)</f>
        <v>=B6*B14</v>
      </c>
      <c r="L23" s="69"/>
      <c r="M23" s="70"/>
    </row>
    <row r="24" spans="1:14" x14ac:dyDescent="0.35">
      <c r="A24" s="2" t="s">
        <v>11</v>
      </c>
      <c r="B24" s="9">
        <f>SUM(B19:B20,B22)-SUM(B21,B23)</f>
        <v>150000</v>
      </c>
      <c r="C24" s="2" t="str">
        <f t="shared" ca="1" si="7"/>
        <v>=SUM(B19:B20,B22)-SUM(B21,B23)</v>
      </c>
      <c r="L24" s="69"/>
      <c r="M24" s="70"/>
    </row>
    <row r="25" spans="1:14" ht="15" thickBot="1" x14ac:dyDescent="0.4">
      <c r="D25" s="2" t="str">
        <f ca="1">_xlfn.FORMULATEXT(D27)</f>
        <v>=B19</v>
      </c>
      <c r="E25" s="2" t="str">
        <f t="shared" ref="E25:H25" ca="1" si="8">_xlfn.FORMULATEXT(E27)</f>
        <v>=B20</v>
      </c>
      <c r="F25" s="2" t="str">
        <f t="shared" ca="1" si="8"/>
        <v>=B21</v>
      </c>
      <c r="G25" s="2" t="str">
        <f t="shared" ca="1" si="8"/>
        <v>=B22</v>
      </c>
      <c r="H25" s="2" t="str">
        <f t="shared" ref="H25:I25" ca="1" si="9">_xlfn.FORMULATEXT(H27)</f>
        <v>=B23</v>
      </c>
      <c r="M25"/>
    </row>
    <row r="26" spans="1:14" ht="15" thickBot="1" x14ac:dyDescent="0.4">
      <c r="A26" s="1" t="s">
        <v>22</v>
      </c>
      <c r="B26" s="2" t="s">
        <v>31</v>
      </c>
      <c r="D26" s="16" t="str">
        <f>A19</f>
        <v>Fullprice Sales revenue</v>
      </c>
      <c r="E26" s="17" t="str">
        <f>A20</f>
        <v>Disposal Sales revenue</v>
      </c>
      <c r="F26" s="18" t="str">
        <f>A21</f>
        <v>Initial Order Cost</v>
      </c>
      <c r="G26" s="18" t="str">
        <f>A22</f>
        <v>ReOrder Revenue</v>
      </c>
      <c r="H26" s="18" t="str">
        <f>A23</f>
        <v>Reorder Cost</v>
      </c>
      <c r="I26" s="78" t="str">
        <f>A24</f>
        <v>Profit</v>
      </c>
      <c r="J26" s="49" t="s">
        <v>32</v>
      </c>
      <c r="K26" s="50"/>
      <c r="L26" s="50"/>
      <c r="M26" s="50"/>
      <c r="N26" s="51"/>
    </row>
    <row r="27" spans="1:14" ht="15" thickBot="1" x14ac:dyDescent="0.4">
      <c r="A27" t="s">
        <v>23</v>
      </c>
      <c r="B27" s="14" t="s">
        <v>24</v>
      </c>
      <c r="C27" s="15" t="s">
        <v>3</v>
      </c>
      <c r="D27" s="77">
        <f>B19</f>
        <v>750000</v>
      </c>
      <c r="E27" s="77">
        <f>B20</f>
        <v>0</v>
      </c>
      <c r="F27" s="77">
        <f>B21</f>
        <v>600000</v>
      </c>
      <c r="G27" s="77">
        <f>B22</f>
        <v>0</v>
      </c>
      <c r="H27" s="25">
        <f>B23</f>
        <v>0</v>
      </c>
      <c r="I27" s="79">
        <f>B24</f>
        <v>150000</v>
      </c>
      <c r="J27" s="52"/>
      <c r="K27" s="53"/>
      <c r="L27" s="53"/>
      <c r="M27" s="53"/>
      <c r="N27" s="54"/>
    </row>
    <row r="28" spans="1:14" x14ac:dyDescent="0.35">
      <c r="A28" s="2">
        <v>1</v>
      </c>
      <c r="B28" s="2">
        <v>0.59368316016031664</v>
      </c>
      <c r="C28" s="2">
        <f>VLOOKUP(B28,$D$5:$F$10,2,TRUE)</f>
        <v>30</v>
      </c>
      <c r="D28" s="19">
        <f t="dataTable" ref="D28:I527" dt2D="0" dtr="0" r1="B11"/>
        <v>750000</v>
      </c>
      <c r="E28" s="20">
        <v>0</v>
      </c>
      <c r="F28" s="20">
        <v>600000</v>
      </c>
      <c r="G28" s="20">
        <v>0</v>
      </c>
      <c r="H28" s="20">
        <v>0</v>
      </c>
      <c r="I28" s="79">
        <v>150000</v>
      </c>
      <c r="J28" s="76"/>
      <c r="K28" s="53"/>
      <c r="L28" s="53"/>
      <c r="M28" s="53"/>
      <c r="N28" s="54"/>
    </row>
    <row r="29" spans="1:14" x14ac:dyDescent="0.35">
      <c r="A29" s="2">
        <v>2</v>
      </c>
      <c r="B29" s="2">
        <v>0.38758363244760841</v>
      </c>
      <c r="C29" s="2">
        <f t="shared" ref="C29:C92" si="10">VLOOKUP(B29,$D$5:$F$10,2,TRUE)</f>
        <v>25</v>
      </c>
      <c r="D29" s="22">
        <v>625000</v>
      </c>
      <c r="E29" s="71">
        <v>85000</v>
      </c>
      <c r="F29" s="71">
        <v>600000</v>
      </c>
      <c r="G29" s="71">
        <v>0</v>
      </c>
      <c r="H29" s="71">
        <v>0</v>
      </c>
      <c r="I29" s="80">
        <v>110000</v>
      </c>
      <c r="J29" s="76"/>
      <c r="K29" s="53"/>
      <c r="L29" s="53"/>
      <c r="M29" s="53"/>
      <c r="N29" s="54"/>
    </row>
    <row r="30" spans="1:14" x14ac:dyDescent="0.35">
      <c r="A30" s="2">
        <v>3</v>
      </c>
      <c r="B30" s="2">
        <v>5.9335961325646669E-2</v>
      </c>
      <c r="C30" s="2">
        <f t="shared" si="10"/>
        <v>20</v>
      </c>
      <c r="D30" s="22">
        <v>500000</v>
      </c>
      <c r="E30" s="71">
        <v>170000</v>
      </c>
      <c r="F30" s="71">
        <v>600000</v>
      </c>
      <c r="G30" s="71">
        <v>0</v>
      </c>
      <c r="H30" s="71">
        <v>0</v>
      </c>
      <c r="I30" s="80">
        <v>70000</v>
      </c>
      <c r="J30" s="76"/>
      <c r="K30" s="53"/>
      <c r="L30" s="53"/>
      <c r="M30" s="53"/>
      <c r="N30" s="54"/>
    </row>
    <row r="31" spans="1:14" x14ac:dyDescent="0.35">
      <c r="A31" s="2">
        <v>4</v>
      </c>
      <c r="B31" s="2">
        <v>0.97956844624581696</v>
      </c>
      <c r="C31" s="2">
        <f t="shared" si="10"/>
        <v>40</v>
      </c>
      <c r="D31" s="22">
        <v>750000</v>
      </c>
      <c r="E31" s="71">
        <v>0</v>
      </c>
      <c r="F31" s="71">
        <v>600000</v>
      </c>
      <c r="G31" s="71">
        <v>250000</v>
      </c>
      <c r="H31" s="71">
        <v>220000</v>
      </c>
      <c r="I31" s="80">
        <v>180000</v>
      </c>
      <c r="J31" s="76"/>
      <c r="K31" s="53"/>
      <c r="L31" s="53"/>
      <c r="M31" s="53"/>
      <c r="N31" s="54"/>
    </row>
    <row r="32" spans="1:14" x14ac:dyDescent="0.35">
      <c r="A32" s="2">
        <v>5</v>
      </c>
      <c r="B32" s="2">
        <v>0.99725759057383778</v>
      </c>
      <c r="C32" s="2">
        <f t="shared" si="10"/>
        <v>40</v>
      </c>
      <c r="D32" s="22">
        <v>750000</v>
      </c>
      <c r="E32" s="71">
        <v>0</v>
      </c>
      <c r="F32" s="71">
        <v>600000</v>
      </c>
      <c r="G32" s="71">
        <v>250000</v>
      </c>
      <c r="H32" s="71">
        <v>220000</v>
      </c>
      <c r="I32" s="80">
        <v>180000</v>
      </c>
      <c r="J32" s="76"/>
      <c r="K32" s="53"/>
      <c r="L32" s="53"/>
      <c r="M32" s="53"/>
      <c r="N32" s="54"/>
    </row>
    <row r="33" spans="1:14" ht="15" thickBot="1" x14ac:dyDescent="0.4">
      <c r="A33" s="2">
        <v>6</v>
      </c>
      <c r="B33" s="2">
        <v>0.89943713125753544</v>
      </c>
      <c r="C33" s="2">
        <f t="shared" si="10"/>
        <v>40</v>
      </c>
      <c r="D33" s="22">
        <v>750000</v>
      </c>
      <c r="E33" s="71">
        <v>0</v>
      </c>
      <c r="F33" s="71">
        <v>600000</v>
      </c>
      <c r="G33" s="71">
        <v>250000</v>
      </c>
      <c r="H33" s="71">
        <v>220000</v>
      </c>
      <c r="I33" s="80">
        <v>180000</v>
      </c>
      <c r="J33" s="55"/>
      <c r="K33" s="55"/>
      <c r="L33" s="55"/>
      <c r="M33" s="55"/>
      <c r="N33" s="56"/>
    </row>
    <row r="34" spans="1:14" x14ac:dyDescent="0.35">
      <c r="A34" s="2">
        <v>7</v>
      </c>
      <c r="B34" s="2">
        <v>0.64567910458987277</v>
      </c>
      <c r="C34" s="2">
        <f t="shared" si="10"/>
        <v>35</v>
      </c>
      <c r="D34" s="22">
        <v>750000</v>
      </c>
      <c r="E34" s="71">
        <v>0</v>
      </c>
      <c r="F34" s="71">
        <v>600000</v>
      </c>
      <c r="G34" s="71">
        <v>125000</v>
      </c>
      <c r="H34" s="71">
        <v>110000</v>
      </c>
      <c r="I34" s="80">
        <v>165000</v>
      </c>
    </row>
    <row r="35" spans="1:14" x14ac:dyDescent="0.35">
      <c r="A35" s="2">
        <v>8</v>
      </c>
      <c r="B35" s="2">
        <v>0.25802446732140549</v>
      </c>
      <c r="C35" s="2">
        <f t="shared" si="10"/>
        <v>20</v>
      </c>
      <c r="D35" s="22">
        <v>500000</v>
      </c>
      <c r="E35" s="71">
        <v>170000</v>
      </c>
      <c r="F35" s="71">
        <v>600000</v>
      </c>
      <c r="G35" s="71">
        <v>0</v>
      </c>
      <c r="H35" s="71">
        <v>0</v>
      </c>
      <c r="I35" s="80">
        <v>70000</v>
      </c>
      <c r="K35"/>
      <c r="M35" s="13"/>
    </row>
    <row r="36" spans="1:14" x14ac:dyDescent="0.35">
      <c r="A36" s="2">
        <v>9</v>
      </c>
      <c r="B36" s="2">
        <v>0.7535801656923885</v>
      </c>
      <c r="C36" s="2">
        <f t="shared" si="10"/>
        <v>35</v>
      </c>
      <c r="D36" s="22">
        <v>750000</v>
      </c>
      <c r="E36" s="71">
        <v>0</v>
      </c>
      <c r="F36" s="71">
        <v>600000</v>
      </c>
      <c r="G36" s="71">
        <v>125000</v>
      </c>
      <c r="H36" s="71">
        <v>110000</v>
      </c>
      <c r="I36" s="80">
        <v>165000</v>
      </c>
      <c r="K36"/>
    </row>
    <row r="37" spans="1:14" x14ac:dyDescent="0.35">
      <c r="A37" s="2">
        <v>10</v>
      </c>
      <c r="B37" s="2">
        <v>0.72845581601926046</v>
      </c>
      <c r="C37" s="2">
        <f t="shared" si="10"/>
        <v>35</v>
      </c>
      <c r="D37" s="22">
        <v>750000</v>
      </c>
      <c r="E37" s="71">
        <v>0</v>
      </c>
      <c r="F37" s="71">
        <v>600000</v>
      </c>
      <c r="G37" s="71">
        <v>125000</v>
      </c>
      <c r="H37" s="71">
        <v>110000</v>
      </c>
      <c r="I37" s="80">
        <v>165000</v>
      </c>
      <c r="K37"/>
    </row>
    <row r="38" spans="1:14" x14ac:dyDescent="0.35">
      <c r="A38" s="2">
        <v>11</v>
      </c>
      <c r="B38" s="2">
        <v>0.10433314530686655</v>
      </c>
      <c r="C38" s="2">
        <f t="shared" si="10"/>
        <v>20</v>
      </c>
      <c r="D38" s="22">
        <v>500000</v>
      </c>
      <c r="E38" s="71">
        <v>170000</v>
      </c>
      <c r="F38" s="71">
        <v>600000</v>
      </c>
      <c r="G38" s="71">
        <v>0</v>
      </c>
      <c r="H38" s="71">
        <v>0</v>
      </c>
      <c r="I38" s="80">
        <v>70000</v>
      </c>
      <c r="K38"/>
    </row>
    <row r="39" spans="1:14" x14ac:dyDescent="0.35">
      <c r="A39" s="2">
        <v>12</v>
      </c>
      <c r="B39" s="2">
        <v>0.99428920917822405</v>
      </c>
      <c r="C39" s="2">
        <f t="shared" si="10"/>
        <v>40</v>
      </c>
      <c r="D39" s="22">
        <v>750000</v>
      </c>
      <c r="E39" s="71">
        <v>0</v>
      </c>
      <c r="F39" s="71">
        <v>600000</v>
      </c>
      <c r="G39" s="71">
        <v>250000</v>
      </c>
      <c r="H39" s="71">
        <v>220000</v>
      </c>
      <c r="I39" s="80">
        <v>180000</v>
      </c>
      <c r="K39"/>
    </row>
    <row r="40" spans="1:14" x14ac:dyDescent="0.35">
      <c r="A40" s="2">
        <v>13</v>
      </c>
      <c r="B40" s="2">
        <v>0.6517669515235297</v>
      </c>
      <c r="C40" s="2">
        <f t="shared" si="10"/>
        <v>35</v>
      </c>
      <c r="D40" s="22">
        <v>750000</v>
      </c>
      <c r="E40" s="71">
        <v>0</v>
      </c>
      <c r="F40" s="71">
        <v>600000</v>
      </c>
      <c r="G40" s="71">
        <v>125000</v>
      </c>
      <c r="H40" s="71">
        <v>110000</v>
      </c>
      <c r="I40" s="80">
        <v>165000</v>
      </c>
      <c r="K40"/>
    </row>
    <row r="41" spans="1:14" x14ac:dyDescent="0.35">
      <c r="A41" s="2">
        <v>14</v>
      </c>
      <c r="B41" s="2">
        <v>6.5730391319715253E-2</v>
      </c>
      <c r="C41" s="2">
        <f t="shared" si="10"/>
        <v>20</v>
      </c>
      <c r="D41" s="22">
        <v>500000</v>
      </c>
      <c r="E41" s="71">
        <v>170000</v>
      </c>
      <c r="F41" s="71">
        <v>600000</v>
      </c>
      <c r="G41" s="71">
        <v>0</v>
      </c>
      <c r="H41" s="71">
        <v>0</v>
      </c>
      <c r="I41" s="80">
        <v>70000</v>
      </c>
      <c r="K41"/>
    </row>
    <row r="42" spans="1:14" x14ac:dyDescent="0.35">
      <c r="A42" s="2">
        <v>15</v>
      </c>
      <c r="B42" s="2">
        <v>2.8325962753263489E-2</v>
      </c>
      <c r="C42" s="2">
        <f t="shared" si="10"/>
        <v>20</v>
      </c>
      <c r="D42" s="22">
        <v>500000</v>
      </c>
      <c r="E42" s="71">
        <v>170000</v>
      </c>
      <c r="F42" s="71">
        <v>600000</v>
      </c>
      <c r="G42" s="71">
        <v>0</v>
      </c>
      <c r="H42" s="71">
        <v>0</v>
      </c>
      <c r="I42" s="80">
        <v>70000</v>
      </c>
      <c r="K42"/>
    </row>
    <row r="43" spans="1:14" x14ac:dyDescent="0.35">
      <c r="A43" s="2">
        <v>16</v>
      </c>
      <c r="B43" s="2">
        <v>0.80175847421195456</v>
      </c>
      <c r="C43" s="2">
        <f t="shared" si="10"/>
        <v>40</v>
      </c>
      <c r="D43" s="22">
        <v>750000</v>
      </c>
      <c r="E43" s="71">
        <v>0</v>
      </c>
      <c r="F43" s="71">
        <v>600000</v>
      </c>
      <c r="G43" s="71">
        <v>250000</v>
      </c>
      <c r="H43" s="71">
        <v>220000</v>
      </c>
      <c r="I43" s="80">
        <v>180000</v>
      </c>
      <c r="K43"/>
    </row>
    <row r="44" spans="1:14" x14ac:dyDescent="0.35">
      <c r="A44" s="2">
        <v>17</v>
      </c>
      <c r="B44" s="2">
        <v>0.64582634164629149</v>
      </c>
      <c r="C44" s="2">
        <f t="shared" si="10"/>
        <v>35</v>
      </c>
      <c r="D44" s="22">
        <v>750000</v>
      </c>
      <c r="E44" s="71">
        <v>0</v>
      </c>
      <c r="F44" s="71">
        <v>600000</v>
      </c>
      <c r="G44" s="71">
        <v>125000</v>
      </c>
      <c r="H44" s="71">
        <v>110000</v>
      </c>
      <c r="I44" s="80">
        <v>165000</v>
      </c>
    </row>
    <row r="45" spans="1:14" x14ac:dyDescent="0.35">
      <c r="A45" s="2">
        <v>18</v>
      </c>
      <c r="B45" s="2">
        <v>0.9137246540607209</v>
      </c>
      <c r="C45" s="2">
        <f t="shared" si="10"/>
        <v>40</v>
      </c>
      <c r="D45" s="22">
        <v>750000</v>
      </c>
      <c r="E45" s="71">
        <v>0</v>
      </c>
      <c r="F45" s="71">
        <v>600000</v>
      </c>
      <c r="G45" s="71">
        <v>250000</v>
      </c>
      <c r="H45" s="71">
        <v>220000</v>
      </c>
      <c r="I45" s="80">
        <v>180000</v>
      </c>
      <c r="K45"/>
    </row>
    <row r="46" spans="1:14" x14ac:dyDescent="0.35">
      <c r="A46" s="2">
        <v>19</v>
      </c>
      <c r="B46" s="2">
        <v>0.84096386762773445</v>
      </c>
      <c r="C46" s="2">
        <f t="shared" si="10"/>
        <v>40</v>
      </c>
      <c r="D46" s="22">
        <v>750000</v>
      </c>
      <c r="E46" s="71">
        <v>0</v>
      </c>
      <c r="F46" s="71">
        <v>600000</v>
      </c>
      <c r="G46" s="71">
        <v>250000</v>
      </c>
      <c r="H46" s="71">
        <v>220000</v>
      </c>
      <c r="I46" s="80">
        <v>180000</v>
      </c>
    </row>
    <row r="47" spans="1:14" x14ac:dyDescent="0.35">
      <c r="A47" s="2">
        <v>20</v>
      </c>
      <c r="B47" s="2">
        <v>0.72679309040243312</v>
      </c>
      <c r="C47" s="2">
        <f t="shared" si="10"/>
        <v>35</v>
      </c>
      <c r="D47" s="22">
        <v>750000</v>
      </c>
      <c r="E47" s="71">
        <v>0</v>
      </c>
      <c r="F47" s="71">
        <v>600000</v>
      </c>
      <c r="G47" s="71">
        <v>125000</v>
      </c>
      <c r="H47" s="71">
        <v>110000</v>
      </c>
      <c r="I47" s="80">
        <v>165000</v>
      </c>
    </row>
    <row r="48" spans="1:14" x14ac:dyDescent="0.35">
      <c r="A48" s="2">
        <v>21</v>
      </c>
      <c r="B48" s="2">
        <v>0.81720290433057563</v>
      </c>
      <c r="C48" s="2">
        <f t="shared" si="10"/>
        <v>40</v>
      </c>
      <c r="D48" s="22">
        <v>750000</v>
      </c>
      <c r="E48" s="71">
        <v>0</v>
      </c>
      <c r="F48" s="71">
        <v>600000</v>
      </c>
      <c r="G48" s="71">
        <v>250000</v>
      </c>
      <c r="H48" s="71">
        <v>220000</v>
      </c>
      <c r="I48" s="80">
        <v>180000</v>
      </c>
    </row>
    <row r="49" spans="1:9" x14ac:dyDescent="0.35">
      <c r="A49" s="2">
        <v>22</v>
      </c>
      <c r="B49" s="2">
        <v>0.51377769422143837</v>
      </c>
      <c r="C49" s="2">
        <f t="shared" si="10"/>
        <v>30</v>
      </c>
      <c r="D49" s="22">
        <v>750000</v>
      </c>
      <c r="E49" s="71">
        <v>0</v>
      </c>
      <c r="F49" s="71">
        <v>600000</v>
      </c>
      <c r="G49" s="71">
        <v>0</v>
      </c>
      <c r="H49" s="71">
        <v>0</v>
      </c>
      <c r="I49" s="80">
        <v>150000</v>
      </c>
    </row>
    <row r="50" spans="1:9" x14ac:dyDescent="0.35">
      <c r="A50" s="2">
        <v>23</v>
      </c>
      <c r="B50" s="2">
        <v>0.70176860941975261</v>
      </c>
      <c r="C50" s="2">
        <f t="shared" si="10"/>
        <v>35</v>
      </c>
      <c r="D50" s="22">
        <v>750000</v>
      </c>
      <c r="E50" s="71">
        <v>0</v>
      </c>
      <c r="F50" s="71">
        <v>600000</v>
      </c>
      <c r="G50" s="71">
        <v>125000</v>
      </c>
      <c r="H50" s="71">
        <v>110000</v>
      </c>
      <c r="I50" s="80">
        <v>165000</v>
      </c>
    </row>
    <row r="51" spans="1:9" x14ac:dyDescent="0.35">
      <c r="A51" s="2">
        <v>24</v>
      </c>
      <c r="B51" s="2">
        <v>0.4146915879236921</v>
      </c>
      <c r="C51" s="2">
        <f t="shared" si="10"/>
        <v>25</v>
      </c>
      <c r="D51" s="22">
        <v>625000</v>
      </c>
      <c r="E51" s="71">
        <v>85000</v>
      </c>
      <c r="F51" s="71">
        <v>600000</v>
      </c>
      <c r="G51" s="71">
        <v>0</v>
      </c>
      <c r="H51" s="71">
        <v>0</v>
      </c>
      <c r="I51" s="80">
        <v>110000</v>
      </c>
    </row>
    <row r="52" spans="1:9" x14ac:dyDescent="0.35">
      <c r="A52" s="2">
        <v>25</v>
      </c>
      <c r="B52" s="2">
        <v>8.2597481638172376E-2</v>
      </c>
      <c r="C52" s="2">
        <f t="shared" si="10"/>
        <v>20</v>
      </c>
      <c r="D52" s="22">
        <v>500000</v>
      </c>
      <c r="E52" s="71">
        <v>170000</v>
      </c>
      <c r="F52" s="71">
        <v>600000</v>
      </c>
      <c r="G52" s="71">
        <v>0</v>
      </c>
      <c r="H52" s="71">
        <v>0</v>
      </c>
      <c r="I52" s="80">
        <v>70000</v>
      </c>
    </row>
    <row r="53" spans="1:9" x14ac:dyDescent="0.35">
      <c r="A53" s="2">
        <v>26</v>
      </c>
      <c r="B53" s="2">
        <v>0.71621780730731543</v>
      </c>
      <c r="C53" s="2">
        <f t="shared" si="10"/>
        <v>35</v>
      </c>
      <c r="D53" s="22">
        <v>750000</v>
      </c>
      <c r="E53" s="71">
        <v>0</v>
      </c>
      <c r="F53" s="71">
        <v>600000</v>
      </c>
      <c r="G53" s="71">
        <v>125000</v>
      </c>
      <c r="H53" s="71">
        <v>110000</v>
      </c>
      <c r="I53" s="80">
        <v>165000</v>
      </c>
    </row>
    <row r="54" spans="1:9" x14ac:dyDescent="0.35">
      <c r="A54" s="2">
        <v>27</v>
      </c>
      <c r="B54" s="2">
        <v>0.78960924325595605</v>
      </c>
      <c r="C54" s="2">
        <f t="shared" si="10"/>
        <v>35</v>
      </c>
      <c r="D54" s="22">
        <v>750000</v>
      </c>
      <c r="E54" s="71">
        <v>0</v>
      </c>
      <c r="F54" s="71">
        <v>600000</v>
      </c>
      <c r="G54" s="71">
        <v>125000</v>
      </c>
      <c r="H54" s="71">
        <v>110000</v>
      </c>
      <c r="I54" s="80">
        <v>165000</v>
      </c>
    </row>
    <row r="55" spans="1:9" x14ac:dyDescent="0.35">
      <c r="A55" s="2">
        <v>28</v>
      </c>
      <c r="B55" s="2">
        <v>0.79215607095898544</v>
      </c>
      <c r="C55" s="2">
        <f t="shared" si="10"/>
        <v>35</v>
      </c>
      <c r="D55" s="22">
        <v>750000</v>
      </c>
      <c r="E55" s="71">
        <v>0</v>
      </c>
      <c r="F55" s="71">
        <v>600000</v>
      </c>
      <c r="G55" s="71">
        <v>125000</v>
      </c>
      <c r="H55" s="71">
        <v>110000</v>
      </c>
      <c r="I55" s="80">
        <v>165000</v>
      </c>
    </row>
    <row r="56" spans="1:9" x14ac:dyDescent="0.35">
      <c r="A56" s="2">
        <v>29</v>
      </c>
      <c r="B56" s="2">
        <v>0.90208742448304913</v>
      </c>
      <c r="C56" s="2">
        <f t="shared" si="10"/>
        <v>40</v>
      </c>
      <c r="D56" s="22">
        <v>750000</v>
      </c>
      <c r="E56" s="71">
        <v>0</v>
      </c>
      <c r="F56" s="71">
        <v>600000</v>
      </c>
      <c r="G56" s="71">
        <v>250000</v>
      </c>
      <c r="H56" s="71">
        <v>220000</v>
      </c>
      <c r="I56" s="80">
        <v>180000</v>
      </c>
    </row>
    <row r="57" spans="1:9" x14ac:dyDescent="0.35">
      <c r="A57" s="2">
        <v>30</v>
      </c>
      <c r="B57" s="2">
        <v>0.18616229347649094</v>
      </c>
      <c r="C57" s="2">
        <f t="shared" si="10"/>
        <v>20</v>
      </c>
      <c r="D57" s="22">
        <v>500000</v>
      </c>
      <c r="E57" s="71">
        <v>170000</v>
      </c>
      <c r="F57" s="71">
        <v>600000</v>
      </c>
      <c r="G57" s="71">
        <v>0</v>
      </c>
      <c r="H57" s="71">
        <v>0</v>
      </c>
      <c r="I57" s="80">
        <v>70000</v>
      </c>
    </row>
    <row r="58" spans="1:9" x14ac:dyDescent="0.35">
      <c r="A58" s="2">
        <v>31</v>
      </c>
      <c r="B58" s="2">
        <v>0.73513088309904961</v>
      </c>
      <c r="C58" s="2">
        <f t="shared" si="10"/>
        <v>35</v>
      </c>
      <c r="D58" s="22">
        <v>750000</v>
      </c>
      <c r="E58" s="71">
        <v>0</v>
      </c>
      <c r="F58" s="71">
        <v>600000</v>
      </c>
      <c r="G58" s="71">
        <v>125000</v>
      </c>
      <c r="H58" s="71">
        <v>110000</v>
      </c>
      <c r="I58" s="80">
        <v>165000</v>
      </c>
    </row>
    <row r="59" spans="1:9" x14ac:dyDescent="0.35">
      <c r="A59" s="2">
        <v>32</v>
      </c>
      <c r="B59" s="2">
        <v>0.18338629805851225</v>
      </c>
      <c r="C59" s="2">
        <f t="shared" si="10"/>
        <v>20</v>
      </c>
      <c r="D59" s="22">
        <v>500000</v>
      </c>
      <c r="E59" s="71">
        <v>170000</v>
      </c>
      <c r="F59" s="71">
        <v>600000</v>
      </c>
      <c r="G59" s="71">
        <v>0</v>
      </c>
      <c r="H59" s="71">
        <v>0</v>
      </c>
      <c r="I59" s="80">
        <v>70000</v>
      </c>
    </row>
    <row r="60" spans="1:9" x14ac:dyDescent="0.35">
      <c r="A60" s="2">
        <v>33</v>
      </c>
      <c r="B60" s="2">
        <v>0.44452925286480716</v>
      </c>
      <c r="C60" s="2">
        <f t="shared" si="10"/>
        <v>25</v>
      </c>
      <c r="D60" s="22">
        <v>625000</v>
      </c>
      <c r="E60" s="71">
        <v>85000</v>
      </c>
      <c r="F60" s="71">
        <v>600000</v>
      </c>
      <c r="G60" s="71">
        <v>0</v>
      </c>
      <c r="H60" s="71">
        <v>0</v>
      </c>
      <c r="I60" s="80">
        <v>110000</v>
      </c>
    </row>
    <row r="61" spans="1:9" x14ac:dyDescent="0.35">
      <c r="A61" s="2">
        <v>34</v>
      </c>
      <c r="B61" s="2">
        <v>0.7236592712360167</v>
      </c>
      <c r="C61" s="2">
        <f t="shared" si="10"/>
        <v>35</v>
      </c>
      <c r="D61" s="22">
        <v>750000</v>
      </c>
      <c r="E61" s="71">
        <v>0</v>
      </c>
      <c r="F61" s="71">
        <v>600000</v>
      </c>
      <c r="G61" s="71">
        <v>125000</v>
      </c>
      <c r="H61" s="71">
        <v>110000</v>
      </c>
      <c r="I61" s="80">
        <v>165000</v>
      </c>
    </row>
    <row r="62" spans="1:9" x14ac:dyDescent="0.35">
      <c r="A62" s="2">
        <v>35</v>
      </c>
      <c r="B62" s="2">
        <v>0.12752114469829134</v>
      </c>
      <c r="C62" s="2">
        <f t="shared" si="10"/>
        <v>20</v>
      </c>
      <c r="D62" s="22">
        <v>500000</v>
      </c>
      <c r="E62" s="71">
        <v>170000</v>
      </c>
      <c r="F62" s="71">
        <v>600000</v>
      </c>
      <c r="G62" s="71">
        <v>0</v>
      </c>
      <c r="H62" s="71">
        <v>0</v>
      </c>
      <c r="I62" s="80">
        <v>70000</v>
      </c>
    </row>
    <row r="63" spans="1:9" x14ac:dyDescent="0.35">
      <c r="A63" s="2">
        <v>36</v>
      </c>
      <c r="B63" s="2">
        <v>0.21270193282406336</v>
      </c>
      <c r="C63" s="2">
        <f t="shared" si="10"/>
        <v>20</v>
      </c>
      <c r="D63" s="22">
        <v>500000</v>
      </c>
      <c r="E63" s="71">
        <v>170000</v>
      </c>
      <c r="F63" s="71">
        <v>600000</v>
      </c>
      <c r="G63" s="71">
        <v>0</v>
      </c>
      <c r="H63" s="71">
        <v>0</v>
      </c>
      <c r="I63" s="80">
        <v>70000</v>
      </c>
    </row>
    <row r="64" spans="1:9" x14ac:dyDescent="0.35">
      <c r="A64" s="2">
        <v>37</v>
      </c>
      <c r="B64" s="2">
        <v>0.45677309477280259</v>
      </c>
      <c r="C64" s="2">
        <f t="shared" si="10"/>
        <v>30</v>
      </c>
      <c r="D64" s="22">
        <v>750000</v>
      </c>
      <c r="E64" s="71">
        <v>0</v>
      </c>
      <c r="F64" s="71">
        <v>600000</v>
      </c>
      <c r="G64" s="71">
        <v>0</v>
      </c>
      <c r="H64" s="71">
        <v>0</v>
      </c>
      <c r="I64" s="80">
        <v>150000</v>
      </c>
    </row>
    <row r="65" spans="1:9" x14ac:dyDescent="0.35">
      <c r="A65" s="2">
        <v>38</v>
      </c>
      <c r="B65" s="2">
        <v>0.26547767243321951</v>
      </c>
      <c r="C65" s="2">
        <f t="shared" si="10"/>
        <v>20</v>
      </c>
      <c r="D65" s="22">
        <v>500000</v>
      </c>
      <c r="E65" s="71">
        <v>170000</v>
      </c>
      <c r="F65" s="71">
        <v>600000</v>
      </c>
      <c r="G65" s="71">
        <v>0</v>
      </c>
      <c r="H65" s="71">
        <v>0</v>
      </c>
      <c r="I65" s="80">
        <v>70000</v>
      </c>
    </row>
    <row r="66" spans="1:9" x14ac:dyDescent="0.35">
      <c r="A66" s="2">
        <v>39</v>
      </c>
      <c r="B66" s="2">
        <v>0.83384704558314082</v>
      </c>
      <c r="C66" s="2">
        <f t="shared" si="10"/>
        <v>40</v>
      </c>
      <c r="D66" s="22">
        <v>750000</v>
      </c>
      <c r="E66" s="71">
        <v>0</v>
      </c>
      <c r="F66" s="71">
        <v>600000</v>
      </c>
      <c r="G66" s="71">
        <v>250000</v>
      </c>
      <c r="H66" s="71">
        <v>220000</v>
      </c>
      <c r="I66" s="80">
        <v>180000</v>
      </c>
    </row>
    <row r="67" spans="1:9" x14ac:dyDescent="0.35">
      <c r="A67" s="2">
        <v>40</v>
      </c>
      <c r="B67" s="2">
        <v>0.50168311637629459</v>
      </c>
      <c r="C67" s="2">
        <f t="shared" si="10"/>
        <v>30</v>
      </c>
      <c r="D67" s="22">
        <v>750000</v>
      </c>
      <c r="E67" s="71">
        <v>0</v>
      </c>
      <c r="F67" s="71">
        <v>600000</v>
      </c>
      <c r="G67" s="71">
        <v>0</v>
      </c>
      <c r="H67" s="71">
        <v>0</v>
      </c>
      <c r="I67" s="80">
        <v>150000</v>
      </c>
    </row>
    <row r="68" spans="1:9" x14ac:dyDescent="0.35">
      <c r="A68" s="2">
        <v>41</v>
      </c>
      <c r="B68" s="2">
        <v>0.81127096774400909</v>
      </c>
      <c r="C68" s="2">
        <f t="shared" si="10"/>
        <v>40</v>
      </c>
      <c r="D68" s="22">
        <v>750000</v>
      </c>
      <c r="E68" s="71">
        <v>0</v>
      </c>
      <c r="F68" s="71">
        <v>600000</v>
      </c>
      <c r="G68" s="71">
        <v>250000</v>
      </c>
      <c r="H68" s="71">
        <v>220000</v>
      </c>
      <c r="I68" s="80">
        <v>180000</v>
      </c>
    </row>
    <row r="69" spans="1:9" x14ac:dyDescent="0.35">
      <c r="A69" s="2">
        <v>42</v>
      </c>
      <c r="B69" s="2">
        <v>1.624958989019154E-3</v>
      </c>
      <c r="C69" s="2">
        <f t="shared" si="10"/>
        <v>20</v>
      </c>
      <c r="D69" s="22">
        <v>500000</v>
      </c>
      <c r="E69" s="71">
        <v>170000</v>
      </c>
      <c r="F69" s="71">
        <v>600000</v>
      </c>
      <c r="G69" s="71">
        <v>0</v>
      </c>
      <c r="H69" s="71">
        <v>0</v>
      </c>
      <c r="I69" s="80">
        <v>70000</v>
      </c>
    </row>
    <row r="70" spans="1:9" x14ac:dyDescent="0.35">
      <c r="A70" s="2">
        <v>43</v>
      </c>
      <c r="B70" s="2">
        <v>0.62966804982178115</v>
      </c>
      <c r="C70" s="2">
        <f t="shared" si="10"/>
        <v>35</v>
      </c>
      <c r="D70" s="22">
        <v>750000</v>
      </c>
      <c r="E70" s="71">
        <v>0</v>
      </c>
      <c r="F70" s="71">
        <v>600000</v>
      </c>
      <c r="G70" s="71">
        <v>125000</v>
      </c>
      <c r="H70" s="71">
        <v>110000</v>
      </c>
      <c r="I70" s="80">
        <v>165000</v>
      </c>
    </row>
    <row r="71" spans="1:9" x14ac:dyDescent="0.35">
      <c r="A71" s="2">
        <v>44</v>
      </c>
      <c r="B71" s="2">
        <v>0.42414195332731819</v>
      </c>
      <c r="C71" s="2">
        <f t="shared" si="10"/>
        <v>25</v>
      </c>
      <c r="D71" s="22">
        <v>625000</v>
      </c>
      <c r="E71" s="71">
        <v>85000</v>
      </c>
      <c r="F71" s="71">
        <v>600000</v>
      </c>
      <c r="G71" s="71">
        <v>0</v>
      </c>
      <c r="H71" s="71">
        <v>0</v>
      </c>
      <c r="I71" s="80">
        <v>110000</v>
      </c>
    </row>
    <row r="72" spans="1:9" x14ac:dyDescent="0.35">
      <c r="A72" s="2">
        <v>45</v>
      </c>
      <c r="B72" s="2">
        <v>0.32807796729925365</v>
      </c>
      <c r="C72" s="2">
        <f t="shared" si="10"/>
        <v>25</v>
      </c>
      <c r="D72" s="22">
        <v>625000</v>
      </c>
      <c r="E72" s="71">
        <v>85000</v>
      </c>
      <c r="F72" s="71">
        <v>600000</v>
      </c>
      <c r="G72" s="71">
        <v>0</v>
      </c>
      <c r="H72" s="71">
        <v>0</v>
      </c>
      <c r="I72" s="80">
        <v>110000</v>
      </c>
    </row>
    <row r="73" spans="1:9" x14ac:dyDescent="0.35">
      <c r="A73" s="2">
        <v>46</v>
      </c>
      <c r="B73" s="2">
        <v>0.92987753875357382</v>
      </c>
      <c r="C73" s="2">
        <f t="shared" si="10"/>
        <v>40</v>
      </c>
      <c r="D73" s="22">
        <v>750000</v>
      </c>
      <c r="E73" s="71">
        <v>0</v>
      </c>
      <c r="F73" s="71">
        <v>600000</v>
      </c>
      <c r="G73" s="71">
        <v>250000</v>
      </c>
      <c r="H73" s="71">
        <v>220000</v>
      </c>
      <c r="I73" s="80">
        <v>180000</v>
      </c>
    </row>
    <row r="74" spans="1:9" x14ac:dyDescent="0.35">
      <c r="A74" s="2">
        <v>47</v>
      </c>
      <c r="B74" s="2">
        <v>0.44547351688412951</v>
      </c>
      <c r="C74" s="2">
        <f t="shared" si="10"/>
        <v>25</v>
      </c>
      <c r="D74" s="22">
        <v>625000</v>
      </c>
      <c r="E74" s="71">
        <v>85000</v>
      </c>
      <c r="F74" s="71">
        <v>600000</v>
      </c>
      <c r="G74" s="71">
        <v>0</v>
      </c>
      <c r="H74" s="71">
        <v>0</v>
      </c>
      <c r="I74" s="80">
        <v>110000</v>
      </c>
    </row>
    <row r="75" spans="1:9" x14ac:dyDescent="0.35">
      <c r="A75" s="2">
        <v>48</v>
      </c>
      <c r="B75" s="2">
        <v>0.70994737019437715</v>
      </c>
      <c r="C75" s="2">
        <f t="shared" si="10"/>
        <v>35</v>
      </c>
      <c r="D75" s="22">
        <v>750000</v>
      </c>
      <c r="E75" s="71">
        <v>0</v>
      </c>
      <c r="F75" s="71">
        <v>600000</v>
      </c>
      <c r="G75" s="71">
        <v>125000</v>
      </c>
      <c r="H75" s="71">
        <v>110000</v>
      </c>
      <c r="I75" s="80">
        <v>165000</v>
      </c>
    </row>
    <row r="76" spans="1:9" x14ac:dyDescent="0.35">
      <c r="A76" s="2">
        <v>49</v>
      </c>
      <c r="B76" s="2">
        <v>0.40403489805294368</v>
      </c>
      <c r="C76" s="2">
        <f t="shared" si="10"/>
        <v>25</v>
      </c>
      <c r="D76" s="22">
        <v>625000</v>
      </c>
      <c r="E76" s="71">
        <v>85000</v>
      </c>
      <c r="F76" s="71">
        <v>600000</v>
      </c>
      <c r="G76" s="71">
        <v>0</v>
      </c>
      <c r="H76" s="71">
        <v>0</v>
      </c>
      <c r="I76" s="80">
        <v>110000</v>
      </c>
    </row>
    <row r="77" spans="1:9" x14ac:dyDescent="0.35">
      <c r="A77" s="2">
        <v>50</v>
      </c>
      <c r="B77" s="2">
        <v>0.36013882069820147</v>
      </c>
      <c r="C77" s="2">
        <f t="shared" si="10"/>
        <v>25</v>
      </c>
      <c r="D77" s="22">
        <v>625000</v>
      </c>
      <c r="E77" s="71">
        <v>85000</v>
      </c>
      <c r="F77" s="71">
        <v>600000</v>
      </c>
      <c r="G77" s="71">
        <v>0</v>
      </c>
      <c r="H77" s="71">
        <v>0</v>
      </c>
      <c r="I77" s="80">
        <v>110000</v>
      </c>
    </row>
    <row r="78" spans="1:9" x14ac:dyDescent="0.35">
      <c r="A78" s="2">
        <v>51</v>
      </c>
      <c r="B78" s="2">
        <v>0.975410152851794</v>
      </c>
      <c r="C78" s="2">
        <f t="shared" si="10"/>
        <v>40</v>
      </c>
      <c r="D78" s="22">
        <v>750000</v>
      </c>
      <c r="E78" s="71">
        <v>0</v>
      </c>
      <c r="F78" s="71">
        <v>600000</v>
      </c>
      <c r="G78" s="71">
        <v>250000</v>
      </c>
      <c r="H78" s="71">
        <v>220000</v>
      </c>
      <c r="I78" s="80">
        <v>180000</v>
      </c>
    </row>
    <row r="79" spans="1:9" x14ac:dyDescent="0.35">
      <c r="A79" s="2">
        <v>52</v>
      </c>
      <c r="B79" s="2">
        <v>6.1273942524265657E-2</v>
      </c>
      <c r="C79" s="2">
        <f t="shared" si="10"/>
        <v>20</v>
      </c>
      <c r="D79" s="22">
        <v>500000</v>
      </c>
      <c r="E79" s="71">
        <v>170000</v>
      </c>
      <c r="F79" s="71">
        <v>600000</v>
      </c>
      <c r="G79" s="71">
        <v>0</v>
      </c>
      <c r="H79" s="71">
        <v>0</v>
      </c>
      <c r="I79" s="80">
        <v>70000</v>
      </c>
    </row>
    <row r="80" spans="1:9" x14ac:dyDescent="0.35">
      <c r="A80" s="2">
        <v>53</v>
      </c>
      <c r="B80" s="2">
        <v>0.22317158311168706</v>
      </c>
      <c r="C80" s="2">
        <f t="shared" si="10"/>
        <v>20</v>
      </c>
      <c r="D80" s="22">
        <v>500000</v>
      </c>
      <c r="E80" s="71">
        <v>170000</v>
      </c>
      <c r="F80" s="71">
        <v>600000</v>
      </c>
      <c r="G80" s="71">
        <v>0</v>
      </c>
      <c r="H80" s="71">
        <v>0</v>
      </c>
      <c r="I80" s="80">
        <v>70000</v>
      </c>
    </row>
    <row r="81" spans="1:9" x14ac:dyDescent="0.35">
      <c r="A81" s="2">
        <v>54</v>
      </c>
      <c r="B81" s="2">
        <v>0.25190435248060961</v>
      </c>
      <c r="C81" s="2">
        <f t="shared" si="10"/>
        <v>20</v>
      </c>
      <c r="D81" s="22">
        <v>500000</v>
      </c>
      <c r="E81" s="71">
        <v>170000</v>
      </c>
      <c r="F81" s="71">
        <v>600000</v>
      </c>
      <c r="G81" s="71">
        <v>0</v>
      </c>
      <c r="H81" s="71">
        <v>0</v>
      </c>
      <c r="I81" s="80">
        <v>70000</v>
      </c>
    </row>
    <row r="82" spans="1:9" x14ac:dyDescent="0.35">
      <c r="A82" s="2">
        <v>55</v>
      </c>
      <c r="B82" s="2">
        <v>0.43333447620978149</v>
      </c>
      <c r="C82" s="2">
        <f t="shared" si="10"/>
        <v>25</v>
      </c>
      <c r="D82" s="22">
        <v>625000</v>
      </c>
      <c r="E82" s="71">
        <v>85000</v>
      </c>
      <c r="F82" s="71">
        <v>600000</v>
      </c>
      <c r="G82" s="71">
        <v>0</v>
      </c>
      <c r="H82" s="71">
        <v>0</v>
      </c>
      <c r="I82" s="80">
        <v>110000</v>
      </c>
    </row>
    <row r="83" spans="1:9" x14ac:dyDescent="0.35">
      <c r="A83" s="2">
        <v>56</v>
      </c>
      <c r="B83" s="2">
        <v>0.26498268429237148</v>
      </c>
      <c r="C83" s="2">
        <f t="shared" si="10"/>
        <v>20</v>
      </c>
      <c r="D83" s="22">
        <v>500000</v>
      </c>
      <c r="E83" s="71">
        <v>170000</v>
      </c>
      <c r="F83" s="71">
        <v>600000</v>
      </c>
      <c r="G83" s="71">
        <v>0</v>
      </c>
      <c r="H83" s="71">
        <v>0</v>
      </c>
      <c r="I83" s="80">
        <v>70000</v>
      </c>
    </row>
    <row r="84" spans="1:9" x14ac:dyDescent="0.35">
      <c r="A84" s="2">
        <v>57</v>
      </c>
      <c r="B84" s="2">
        <v>0.47608610266987184</v>
      </c>
      <c r="C84" s="2">
        <f t="shared" si="10"/>
        <v>30</v>
      </c>
      <c r="D84" s="22">
        <v>750000</v>
      </c>
      <c r="E84" s="71">
        <v>0</v>
      </c>
      <c r="F84" s="71">
        <v>600000</v>
      </c>
      <c r="G84" s="71">
        <v>0</v>
      </c>
      <c r="H84" s="71">
        <v>0</v>
      </c>
      <c r="I84" s="80">
        <v>150000</v>
      </c>
    </row>
    <row r="85" spans="1:9" x14ac:dyDescent="0.35">
      <c r="A85" s="2">
        <v>58</v>
      </c>
      <c r="B85" s="2">
        <v>0.99600253527602611</v>
      </c>
      <c r="C85" s="2">
        <f t="shared" si="10"/>
        <v>40</v>
      </c>
      <c r="D85" s="22">
        <v>750000</v>
      </c>
      <c r="E85" s="71">
        <v>0</v>
      </c>
      <c r="F85" s="71">
        <v>600000</v>
      </c>
      <c r="G85" s="71">
        <v>250000</v>
      </c>
      <c r="H85" s="71">
        <v>220000</v>
      </c>
      <c r="I85" s="80">
        <v>180000</v>
      </c>
    </row>
    <row r="86" spans="1:9" x14ac:dyDescent="0.35">
      <c r="A86" s="2">
        <v>59</v>
      </c>
      <c r="B86" s="2">
        <v>0.72909309922111942</v>
      </c>
      <c r="C86" s="2">
        <f t="shared" si="10"/>
        <v>35</v>
      </c>
      <c r="D86" s="22">
        <v>750000</v>
      </c>
      <c r="E86" s="71">
        <v>0</v>
      </c>
      <c r="F86" s="71">
        <v>600000</v>
      </c>
      <c r="G86" s="71">
        <v>125000</v>
      </c>
      <c r="H86" s="71">
        <v>110000</v>
      </c>
      <c r="I86" s="80">
        <v>165000</v>
      </c>
    </row>
    <row r="87" spans="1:9" x14ac:dyDescent="0.35">
      <c r="A87" s="2">
        <v>60</v>
      </c>
      <c r="B87" s="2">
        <v>0.95847531316423507</v>
      </c>
      <c r="C87" s="2">
        <f t="shared" si="10"/>
        <v>40</v>
      </c>
      <c r="D87" s="22">
        <v>750000</v>
      </c>
      <c r="E87" s="71">
        <v>0</v>
      </c>
      <c r="F87" s="71">
        <v>600000</v>
      </c>
      <c r="G87" s="71">
        <v>250000</v>
      </c>
      <c r="H87" s="71">
        <v>220000</v>
      </c>
      <c r="I87" s="80">
        <v>180000</v>
      </c>
    </row>
    <row r="88" spans="1:9" x14ac:dyDescent="0.35">
      <c r="A88" s="2">
        <v>61</v>
      </c>
      <c r="B88" s="2">
        <v>0.8090664914305874</v>
      </c>
      <c r="C88" s="2">
        <f t="shared" si="10"/>
        <v>40</v>
      </c>
      <c r="D88" s="22">
        <v>750000</v>
      </c>
      <c r="E88" s="71">
        <v>0</v>
      </c>
      <c r="F88" s="71">
        <v>600000</v>
      </c>
      <c r="G88" s="71">
        <v>250000</v>
      </c>
      <c r="H88" s="71">
        <v>220000</v>
      </c>
      <c r="I88" s="80">
        <v>180000</v>
      </c>
    </row>
    <row r="89" spans="1:9" x14ac:dyDescent="0.35">
      <c r="A89" s="2">
        <v>62</v>
      </c>
      <c r="B89" s="2">
        <v>0.30911747066516482</v>
      </c>
      <c r="C89" s="2">
        <f t="shared" si="10"/>
        <v>25</v>
      </c>
      <c r="D89" s="22">
        <v>625000</v>
      </c>
      <c r="E89" s="71">
        <v>85000</v>
      </c>
      <c r="F89" s="71">
        <v>600000</v>
      </c>
      <c r="G89" s="71">
        <v>0</v>
      </c>
      <c r="H89" s="71">
        <v>0</v>
      </c>
      <c r="I89" s="80">
        <v>110000</v>
      </c>
    </row>
    <row r="90" spans="1:9" x14ac:dyDescent="0.35">
      <c r="A90" s="2">
        <v>63</v>
      </c>
      <c r="B90" s="2">
        <v>0.59828249706719439</v>
      </c>
      <c r="C90" s="2">
        <f t="shared" si="10"/>
        <v>30</v>
      </c>
      <c r="D90" s="22">
        <v>750000</v>
      </c>
      <c r="E90" s="71">
        <v>0</v>
      </c>
      <c r="F90" s="71">
        <v>600000</v>
      </c>
      <c r="G90" s="71">
        <v>0</v>
      </c>
      <c r="H90" s="71">
        <v>0</v>
      </c>
      <c r="I90" s="80">
        <v>150000</v>
      </c>
    </row>
    <row r="91" spans="1:9" x14ac:dyDescent="0.35">
      <c r="A91" s="2">
        <v>64</v>
      </c>
      <c r="B91" s="2">
        <v>0.87994013227857482</v>
      </c>
      <c r="C91" s="2">
        <f t="shared" si="10"/>
        <v>40</v>
      </c>
      <c r="D91" s="22">
        <v>750000</v>
      </c>
      <c r="E91" s="71">
        <v>0</v>
      </c>
      <c r="F91" s="71">
        <v>600000</v>
      </c>
      <c r="G91" s="71">
        <v>250000</v>
      </c>
      <c r="H91" s="71">
        <v>220000</v>
      </c>
      <c r="I91" s="80">
        <v>180000</v>
      </c>
    </row>
    <row r="92" spans="1:9" x14ac:dyDescent="0.35">
      <c r="A92" s="2">
        <v>65</v>
      </c>
      <c r="B92" s="2">
        <v>0.98292587924963737</v>
      </c>
      <c r="C92" s="2">
        <f t="shared" si="10"/>
        <v>40</v>
      </c>
      <c r="D92" s="22">
        <v>750000</v>
      </c>
      <c r="E92" s="71">
        <v>0</v>
      </c>
      <c r="F92" s="71">
        <v>600000</v>
      </c>
      <c r="G92" s="71">
        <v>250000</v>
      </c>
      <c r="H92" s="71">
        <v>220000</v>
      </c>
      <c r="I92" s="80">
        <v>180000</v>
      </c>
    </row>
    <row r="93" spans="1:9" x14ac:dyDescent="0.35">
      <c r="A93" s="2">
        <v>66</v>
      </c>
      <c r="B93" s="2">
        <v>0.68730264936982655</v>
      </c>
      <c r="C93" s="2">
        <f t="shared" ref="C93:C156" si="11">VLOOKUP(B93,$D$5:$F$10,2,TRUE)</f>
        <v>35</v>
      </c>
      <c r="D93" s="22">
        <v>750000</v>
      </c>
      <c r="E93" s="71">
        <v>0</v>
      </c>
      <c r="F93" s="71">
        <v>600000</v>
      </c>
      <c r="G93" s="71">
        <v>125000</v>
      </c>
      <c r="H93" s="71">
        <v>110000</v>
      </c>
      <c r="I93" s="80">
        <v>165000</v>
      </c>
    </row>
    <row r="94" spans="1:9" x14ac:dyDescent="0.35">
      <c r="A94" s="2">
        <v>67</v>
      </c>
      <c r="B94" s="2">
        <v>6.5377843006690473E-2</v>
      </c>
      <c r="C94" s="2">
        <f t="shared" si="11"/>
        <v>20</v>
      </c>
      <c r="D94" s="22">
        <v>500000</v>
      </c>
      <c r="E94" s="71">
        <v>170000</v>
      </c>
      <c r="F94" s="71">
        <v>600000</v>
      </c>
      <c r="G94" s="71">
        <v>0</v>
      </c>
      <c r="H94" s="71">
        <v>0</v>
      </c>
      <c r="I94" s="80">
        <v>70000</v>
      </c>
    </row>
    <row r="95" spans="1:9" x14ac:dyDescent="0.35">
      <c r="A95" s="2">
        <v>68</v>
      </c>
      <c r="B95" s="2">
        <v>0.24484986860021585</v>
      </c>
      <c r="C95" s="2">
        <f t="shared" si="11"/>
        <v>20</v>
      </c>
      <c r="D95" s="22">
        <v>500000</v>
      </c>
      <c r="E95" s="71">
        <v>170000</v>
      </c>
      <c r="F95" s="71">
        <v>600000</v>
      </c>
      <c r="G95" s="71">
        <v>0</v>
      </c>
      <c r="H95" s="71">
        <v>0</v>
      </c>
      <c r="I95" s="80">
        <v>70000</v>
      </c>
    </row>
    <row r="96" spans="1:9" x14ac:dyDescent="0.35">
      <c r="A96" s="2">
        <v>69</v>
      </c>
      <c r="B96" s="2">
        <v>0.52052070030213915</v>
      </c>
      <c r="C96" s="2">
        <f t="shared" si="11"/>
        <v>30</v>
      </c>
      <c r="D96" s="22">
        <v>750000</v>
      </c>
      <c r="E96" s="71">
        <v>0</v>
      </c>
      <c r="F96" s="71">
        <v>600000</v>
      </c>
      <c r="G96" s="71">
        <v>0</v>
      </c>
      <c r="H96" s="71">
        <v>0</v>
      </c>
      <c r="I96" s="80">
        <v>150000</v>
      </c>
    </row>
    <row r="97" spans="1:9" x14ac:dyDescent="0.35">
      <c r="A97" s="2">
        <v>70</v>
      </c>
      <c r="B97" s="2">
        <v>0.83947938427012192</v>
      </c>
      <c r="C97" s="2">
        <f t="shared" si="11"/>
        <v>40</v>
      </c>
      <c r="D97" s="22">
        <v>750000</v>
      </c>
      <c r="E97" s="71">
        <v>0</v>
      </c>
      <c r="F97" s="71">
        <v>600000</v>
      </c>
      <c r="G97" s="71">
        <v>250000</v>
      </c>
      <c r="H97" s="71">
        <v>220000</v>
      </c>
      <c r="I97" s="80">
        <v>180000</v>
      </c>
    </row>
    <row r="98" spans="1:9" x14ac:dyDescent="0.35">
      <c r="A98" s="2">
        <v>71</v>
      </c>
      <c r="B98" s="2">
        <v>4.5877679108178415E-2</v>
      </c>
      <c r="C98" s="2">
        <f t="shared" si="11"/>
        <v>20</v>
      </c>
      <c r="D98" s="22">
        <v>500000</v>
      </c>
      <c r="E98" s="71">
        <v>170000</v>
      </c>
      <c r="F98" s="71">
        <v>600000</v>
      </c>
      <c r="G98" s="71">
        <v>0</v>
      </c>
      <c r="H98" s="71">
        <v>0</v>
      </c>
      <c r="I98" s="80">
        <v>70000</v>
      </c>
    </row>
    <row r="99" spans="1:9" x14ac:dyDescent="0.35">
      <c r="A99" s="2">
        <v>72</v>
      </c>
      <c r="B99" s="2">
        <v>0.20066527910638865</v>
      </c>
      <c r="C99" s="2">
        <f t="shared" si="11"/>
        <v>20</v>
      </c>
      <c r="D99" s="22">
        <v>500000</v>
      </c>
      <c r="E99" s="71">
        <v>170000</v>
      </c>
      <c r="F99" s="71">
        <v>600000</v>
      </c>
      <c r="G99" s="71">
        <v>0</v>
      </c>
      <c r="H99" s="71">
        <v>0</v>
      </c>
      <c r="I99" s="80">
        <v>70000</v>
      </c>
    </row>
    <row r="100" spans="1:9" x14ac:dyDescent="0.35">
      <c r="A100" s="2">
        <v>73</v>
      </c>
      <c r="B100" s="2">
        <v>0.86222763385025747</v>
      </c>
      <c r="C100" s="2">
        <f t="shared" si="11"/>
        <v>40</v>
      </c>
      <c r="D100" s="22">
        <v>750000</v>
      </c>
      <c r="E100" s="71">
        <v>0</v>
      </c>
      <c r="F100" s="71">
        <v>600000</v>
      </c>
      <c r="G100" s="71">
        <v>250000</v>
      </c>
      <c r="H100" s="71">
        <v>220000</v>
      </c>
      <c r="I100" s="80">
        <v>180000</v>
      </c>
    </row>
    <row r="101" spans="1:9" x14ac:dyDescent="0.35">
      <c r="A101" s="2">
        <v>74</v>
      </c>
      <c r="B101" s="2">
        <v>0.12415150737202973</v>
      </c>
      <c r="C101" s="2">
        <f t="shared" si="11"/>
        <v>20</v>
      </c>
      <c r="D101" s="22">
        <v>500000</v>
      </c>
      <c r="E101" s="71">
        <v>170000</v>
      </c>
      <c r="F101" s="71">
        <v>600000</v>
      </c>
      <c r="G101" s="71">
        <v>0</v>
      </c>
      <c r="H101" s="71">
        <v>0</v>
      </c>
      <c r="I101" s="80">
        <v>70000</v>
      </c>
    </row>
    <row r="102" spans="1:9" x14ac:dyDescent="0.35">
      <c r="A102" s="2">
        <v>75</v>
      </c>
      <c r="B102" s="2">
        <v>0.95231244234344692</v>
      </c>
      <c r="C102" s="2">
        <f t="shared" si="11"/>
        <v>40</v>
      </c>
      <c r="D102" s="22">
        <v>750000</v>
      </c>
      <c r="E102" s="71">
        <v>0</v>
      </c>
      <c r="F102" s="71">
        <v>600000</v>
      </c>
      <c r="G102" s="71">
        <v>250000</v>
      </c>
      <c r="H102" s="71">
        <v>220000</v>
      </c>
      <c r="I102" s="80">
        <v>180000</v>
      </c>
    </row>
    <row r="103" spans="1:9" x14ac:dyDescent="0.35">
      <c r="A103" s="2">
        <v>76</v>
      </c>
      <c r="B103" s="2">
        <v>9.9304445778951256E-2</v>
      </c>
      <c r="C103" s="2">
        <f t="shared" si="11"/>
        <v>20</v>
      </c>
      <c r="D103" s="22">
        <v>500000</v>
      </c>
      <c r="E103" s="71">
        <v>170000</v>
      </c>
      <c r="F103" s="71">
        <v>600000</v>
      </c>
      <c r="G103" s="71">
        <v>0</v>
      </c>
      <c r="H103" s="71">
        <v>0</v>
      </c>
      <c r="I103" s="80">
        <v>70000</v>
      </c>
    </row>
    <row r="104" spans="1:9" x14ac:dyDescent="0.35">
      <c r="A104" s="2">
        <v>77</v>
      </c>
      <c r="B104" s="2">
        <v>0.82292798706448622</v>
      </c>
      <c r="C104" s="2">
        <f t="shared" si="11"/>
        <v>40</v>
      </c>
      <c r="D104" s="22">
        <v>750000</v>
      </c>
      <c r="E104" s="71">
        <v>0</v>
      </c>
      <c r="F104" s="71">
        <v>600000</v>
      </c>
      <c r="G104" s="71">
        <v>250000</v>
      </c>
      <c r="H104" s="71">
        <v>220000</v>
      </c>
      <c r="I104" s="80">
        <v>180000</v>
      </c>
    </row>
    <row r="105" spans="1:9" x14ac:dyDescent="0.35">
      <c r="A105" s="2">
        <v>78</v>
      </c>
      <c r="B105" s="2">
        <v>0.34614309376180497</v>
      </c>
      <c r="C105" s="2">
        <f t="shared" si="11"/>
        <v>25</v>
      </c>
      <c r="D105" s="22">
        <v>625000</v>
      </c>
      <c r="E105" s="71">
        <v>85000</v>
      </c>
      <c r="F105" s="71">
        <v>600000</v>
      </c>
      <c r="G105" s="71">
        <v>0</v>
      </c>
      <c r="H105" s="71">
        <v>0</v>
      </c>
      <c r="I105" s="80">
        <v>110000</v>
      </c>
    </row>
    <row r="106" spans="1:9" x14ac:dyDescent="0.35">
      <c r="A106" s="2">
        <v>79</v>
      </c>
      <c r="B106" s="2">
        <v>0.83197955709445759</v>
      </c>
      <c r="C106" s="2">
        <f t="shared" si="11"/>
        <v>40</v>
      </c>
      <c r="D106" s="22">
        <v>750000</v>
      </c>
      <c r="E106" s="71">
        <v>0</v>
      </c>
      <c r="F106" s="71">
        <v>600000</v>
      </c>
      <c r="G106" s="71">
        <v>250000</v>
      </c>
      <c r="H106" s="71">
        <v>220000</v>
      </c>
      <c r="I106" s="80">
        <v>180000</v>
      </c>
    </row>
    <row r="107" spans="1:9" x14ac:dyDescent="0.35">
      <c r="A107" s="2">
        <v>80</v>
      </c>
      <c r="B107" s="2">
        <v>0.57684143477873739</v>
      </c>
      <c r="C107" s="2">
        <f t="shared" si="11"/>
        <v>30</v>
      </c>
      <c r="D107" s="22">
        <v>750000</v>
      </c>
      <c r="E107" s="71">
        <v>0</v>
      </c>
      <c r="F107" s="71">
        <v>600000</v>
      </c>
      <c r="G107" s="71">
        <v>0</v>
      </c>
      <c r="H107" s="71">
        <v>0</v>
      </c>
      <c r="I107" s="80">
        <v>150000</v>
      </c>
    </row>
    <row r="108" spans="1:9" x14ac:dyDescent="0.35">
      <c r="A108" s="2">
        <v>81</v>
      </c>
      <c r="B108" s="2">
        <v>2.5540130960490237E-2</v>
      </c>
      <c r="C108" s="2">
        <f t="shared" si="11"/>
        <v>20</v>
      </c>
      <c r="D108" s="22">
        <v>500000</v>
      </c>
      <c r="E108" s="71">
        <v>170000</v>
      </c>
      <c r="F108" s="71">
        <v>600000</v>
      </c>
      <c r="G108" s="71">
        <v>0</v>
      </c>
      <c r="H108" s="71">
        <v>0</v>
      </c>
      <c r="I108" s="80">
        <v>70000</v>
      </c>
    </row>
    <row r="109" spans="1:9" x14ac:dyDescent="0.35">
      <c r="A109" s="2">
        <v>82</v>
      </c>
      <c r="B109" s="2">
        <v>0.95067964709417385</v>
      </c>
      <c r="C109" s="2">
        <f t="shared" si="11"/>
        <v>40</v>
      </c>
      <c r="D109" s="22">
        <v>750000</v>
      </c>
      <c r="E109" s="71">
        <v>0</v>
      </c>
      <c r="F109" s="71">
        <v>600000</v>
      </c>
      <c r="G109" s="71">
        <v>250000</v>
      </c>
      <c r="H109" s="71">
        <v>220000</v>
      </c>
      <c r="I109" s="80">
        <v>180000</v>
      </c>
    </row>
    <row r="110" spans="1:9" x14ac:dyDescent="0.35">
      <c r="A110" s="2">
        <v>83</v>
      </c>
      <c r="B110" s="2">
        <v>4.0046201201825116E-2</v>
      </c>
      <c r="C110" s="2">
        <f t="shared" si="11"/>
        <v>20</v>
      </c>
      <c r="D110" s="22">
        <v>500000</v>
      </c>
      <c r="E110" s="71">
        <v>170000</v>
      </c>
      <c r="F110" s="71">
        <v>600000</v>
      </c>
      <c r="G110" s="71">
        <v>0</v>
      </c>
      <c r="H110" s="71">
        <v>0</v>
      </c>
      <c r="I110" s="80">
        <v>70000</v>
      </c>
    </row>
    <row r="111" spans="1:9" x14ac:dyDescent="0.35">
      <c r="A111" s="2">
        <v>84</v>
      </c>
      <c r="B111" s="2">
        <v>0.65536913127043039</v>
      </c>
      <c r="C111" s="2">
        <f t="shared" si="11"/>
        <v>35</v>
      </c>
      <c r="D111" s="22">
        <v>750000</v>
      </c>
      <c r="E111" s="71">
        <v>0</v>
      </c>
      <c r="F111" s="71">
        <v>600000</v>
      </c>
      <c r="G111" s="71">
        <v>125000</v>
      </c>
      <c r="H111" s="71">
        <v>110000</v>
      </c>
      <c r="I111" s="80">
        <v>165000</v>
      </c>
    </row>
    <row r="112" spans="1:9" x14ac:dyDescent="0.35">
      <c r="A112" s="2">
        <v>85</v>
      </c>
      <c r="B112" s="2">
        <v>0.46821477991034421</v>
      </c>
      <c r="C112" s="2">
        <f t="shared" si="11"/>
        <v>30</v>
      </c>
      <c r="D112" s="22">
        <v>750000</v>
      </c>
      <c r="E112" s="71">
        <v>0</v>
      </c>
      <c r="F112" s="71">
        <v>600000</v>
      </c>
      <c r="G112" s="71">
        <v>0</v>
      </c>
      <c r="H112" s="71">
        <v>0</v>
      </c>
      <c r="I112" s="80">
        <v>150000</v>
      </c>
    </row>
    <row r="113" spans="1:9" x14ac:dyDescent="0.35">
      <c r="A113" s="2">
        <v>86</v>
      </c>
      <c r="B113" s="2">
        <v>0.55010281153216034</v>
      </c>
      <c r="C113" s="2">
        <f t="shared" si="11"/>
        <v>30</v>
      </c>
      <c r="D113" s="22">
        <v>750000</v>
      </c>
      <c r="E113" s="71">
        <v>0</v>
      </c>
      <c r="F113" s="71">
        <v>600000</v>
      </c>
      <c r="G113" s="71">
        <v>0</v>
      </c>
      <c r="H113" s="71">
        <v>0</v>
      </c>
      <c r="I113" s="80">
        <v>150000</v>
      </c>
    </row>
    <row r="114" spans="1:9" x14ac:dyDescent="0.35">
      <c r="A114" s="2">
        <v>87</v>
      </c>
      <c r="B114" s="2">
        <v>0.71516511984187248</v>
      </c>
      <c r="C114" s="2">
        <f t="shared" si="11"/>
        <v>35</v>
      </c>
      <c r="D114" s="22">
        <v>750000</v>
      </c>
      <c r="E114" s="71">
        <v>0</v>
      </c>
      <c r="F114" s="71">
        <v>600000</v>
      </c>
      <c r="G114" s="71">
        <v>125000</v>
      </c>
      <c r="H114" s="71">
        <v>110000</v>
      </c>
      <c r="I114" s="80">
        <v>165000</v>
      </c>
    </row>
    <row r="115" spans="1:9" x14ac:dyDescent="0.35">
      <c r="A115" s="2">
        <v>88</v>
      </c>
      <c r="B115" s="2">
        <v>0.78751561790625502</v>
      </c>
      <c r="C115" s="2">
        <f t="shared" si="11"/>
        <v>35</v>
      </c>
      <c r="D115" s="22">
        <v>750000</v>
      </c>
      <c r="E115" s="71">
        <v>0</v>
      </c>
      <c r="F115" s="71">
        <v>600000</v>
      </c>
      <c r="G115" s="71">
        <v>125000</v>
      </c>
      <c r="H115" s="71">
        <v>110000</v>
      </c>
      <c r="I115" s="80">
        <v>165000</v>
      </c>
    </row>
    <row r="116" spans="1:9" x14ac:dyDescent="0.35">
      <c r="A116" s="2">
        <v>89</v>
      </c>
      <c r="B116" s="2">
        <v>0.67408510997759907</v>
      </c>
      <c r="C116" s="2">
        <f t="shared" si="11"/>
        <v>35</v>
      </c>
      <c r="D116" s="22">
        <v>750000</v>
      </c>
      <c r="E116" s="71">
        <v>0</v>
      </c>
      <c r="F116" s="71">
        <v>600000</v>
      </c>
      <c r="G116" s="71">
        <v>125000</v>
      </c>
      <c r="H116" s="71">
        <v>110000</v>
      </c>
      <c r="I116" s="80">
        <v>165000</v>
      </c>
    </row>
    <row r="117" spans="1:9" x14ac:dyDescent="0.35">
      <c r="A117" s="2">
        <v>90</v>
      </c>
      <c r="B117" s="2">
        <v>0.2868341847039233</v>
      </c>
      <c r="C117" s="2">
        <f t="shared" si="11"/>
        <v>20</v>
      </c>
      <c r="D117" s="22">
        <v>500000</v>
      </c>
      <c r="E117" s="71">
        <v>170000</v>
      </c>
      <c r="F117" s="71">
        <v>600000</v>
      </c>
      <c r="G117" s="71">
        <v>0</v>
      </c>
      <c r="H117" s="71">
        <v>0</v>
      </c>
      <c r="I117" s="80">
        <v>70000</v>
      </c>
    </row>
    <row r="118" spans="1:9" x14ac:dyDescent="0.35">
      <c r="A118" s="2">
        <v>91</v>
      </c>
      <c r="B118" s="2">
        <v>0.5259850986767175</v>
      </c>
      <c r="C118" s="2">
        <f t="shared" si="11"/>
        <v>30</v>
      </c>
      <c r="D118" s="22">
        <v>750000</v>
      </c>
      <c r="E118" s="71">
        <v>0</v>
      </c>
      <c r="F118" s="71">
        <v>600000</v>
      </c>
      <c r="G118" s="71">
        <v>0</v>
      </c>
      <c r="H118" s="71">
        <v>0</v>
      </c>
      <c r="I118" s="80">
        <v>150000</v>
      </c>
    </row>
    <row r="119" spans="1:9" x14ac:dyDescent="0.35">
      <c r="A119" s="2">
        <v>92</v>
      </c>
      <c r="B119" s="2">
        <v>7.713958052060399E-2</v>
      </c>
      <c r="C119" s="2">
        <f t="shared" si="11"/>
        <v>20</v>
      </c>
      <c r="D119" s="22">
        <v>500000</v>
      </c>
      <c r="E119" s="71">
        <v>170000</v>
      </c>
      <c r="F119" s="71">
        <v>600000</v>
      </c>
      <c r="G119" s="71">
        <v>0</v>
      </c>
      <c r="H119" s="71">
        <v>0</v>
      </c>
      <c r="I119" s="80">
        <v>70000</v>
      </c>
    </row>
    <row r="120" spans="1:9" x14ac:dyDescent="0.35">
      <c r="A120" s="2">
        <v>93</v>
      </c>
      <c r="B120" s="2">
        <v>0.96130423064570247</v>
      </c>
      <c r="C120" s="2">
        <f t="shared" si="11"/>
        <v>40</v>
      </c>
      <c r="D120" s="22">
        <v>750000</v>
      </c>
      <c r="E120" s="71">
        <v>0</v>
      </c>
      <c r="F120" s="71">
        <v>600000</v>
      </c>
      <c r="G120" s="71">
        <v>250000</v>
      </c>
      <c r="H120" s="71">
        <v>220000</v>
      </c>
      <c r="I120" s="80">
        <v>180000</v>
      </c>
    </row>
    <row r="121" spans="1:9" x14ac:dyDescent="0.35">
      <c r="A121" s="2">
        <v>94</v>
      </c>
      <c r="B121" s="2">
        <v>0.65856292522295978</v>
      </c>
      <c r="C121" s="2">
        <f t="shared" si="11"/>
        <v>35</v>
      </c>
      <c r="D121" s="22">
        <v>750000</v>
      </c>
      <c r="E121" s="71">
        <v>0</v>
      </c>
      <c r="F121" s="71">
        <v>600000</v>
      </c>
      <c r="G121" s="71">
        <v>125000</v>
      </c>
      <c r="H121" s="71">
        <v>110000</v>
      </c>
      <c r="I121" s="80">
        <v>165000</v>
      </c>
    </row>
    <row r="122" spans="1:9" x14ac:dyDescent="0.35">
      <c r="A122" s="2">
        <v>95</v>
      </c>
      <c r="B122" s="2">
        <v>0.61417992556314072</v>
      </c>
      <c r="C122" s="2">
        <f t="shared" si="11"/>
        <v>35</v>
      </c>
      <c r="D122" s="22">
        <v>750000</v>
      </c>
      <c r="E122" s="71">
        <v>0</v>
      </c>
      <c r="F122" s="71">
        <v>600000</v>
      </c>
      <c r="G122" s="71">
        <v>125000</v>
      </c>
      <c r="H122" s="71">
        <v>110000</v>
      </c>
      <c r="I122" s="80">
        <v>165000</v>
      </c>
    </row>
    <row r="123" spans="1:9" x14ac:dyDescent="0.35">
      <c r="A123" s="2">
        <v>96</v>
      </c>
      <c r="B123" s="2">
        <v>0.31382978847747556</v>
      </c>
      <c r="C123" s="2">
        <f t="shared" si="11"/>
        <v>25</v>
      </c>
      <c r="D123" s="22">
        <v>625000</v>
      </c>
      <c r="E123" s="71">
        <v>85000</v>
      </c>
      <c r="F123" s="71">
        <v>600000</v>
      </c>
      <c r="G123" s="71">
        <v>0</v>
      </c>
      <c r="H123" s="71">
        <v>0</v>
      </c>
      <c r="I123" s="80">
        <v>110000</v>
      </c>
    </row>
    <row r="124" spans="1:9" x14ac:dyDescent="0.35">
      <c r="A124" s="2">
        <v>97</v>
      </c>
      <c r="B124" s="2">
        <v>0.8303006781075678</v>
      </c>
      <c r="C124" s="2">
        <f t="shared" si="11"/>
        <v>40</v>
      </c>
      <c r="D124" s="22">
        <v>750000</v>
      </c>
      <c r="E124" s="71">
        <v>0</v>
      </c>
      <c r="F124" s="71">
        <v>600000</v>
      </c>
      <c r="G124" s="71">
        <v>250000</v>
      </c>
      <c r="H124" s="71">
        <v>220000</v>
      </c>
      <c r="I124" s="80">
        <v>180000</v>
      </c>
    </row>
    <row r="125" spans="1:9" x14ac:dyDescent="0.35">
      <c r="A125" s="2">
        <v>98</v>
      </c>
      <c r="B125" s="2">
        <v>0.99982113463891287</v>
      </c>
      <c r="C125" s="2">
        <f t="shared" si="11"/>
        <v>40</v>
      </c>
      <c r="D125" s="22">
        <v>750000</v>
      </c>
      <c r="E125" s="71">
        <v>0</v>
      </c>
      <c r="F125" s="71">
        <v>600000</v>
      </c>
      <c r="G125" s="71">
        <v>250000</v>
      </c>
      <c r="H125" s="71">
        <v>220000</v>
      </c>
      <c r="I125" s="80">
        <v>180000</v>
      </c>
    </row>
    <row r="126" spans="1:9" x14ac:dyDescent="0.35">
      <c r="A126" s="2">
        <v>99</v>
      </c>
      <c r="B126" s="2">
        <v>0.27862722311772326</v>
      </c>
      <c r="C126" s="2">
        <f t="shared" si="11"/>
        <v>20</v>
      </c>
      <c r="D126" s="22">
        <v>500000</v>
      </c>
      <c r="E126" s="71">
        <v>170000</v>
      </c>
      <c r="F126" s="71">
        <v>600000</v>
      </c>
      <c r="G126" s="71">
        <v>0</v>
      </c>
      <c r="H126" s="71">
        <v>0</v>
      </c>
      <c r="I126" s="80">
        <v>70000</v>
      </c>
    </row>
    <row r="127" spans="1:9" x14ac:dyDescent="0.35">
      <c r="A127" s="2">
        <v>100</v>
      </c>
      <c r="B127" s="2">
        <v>0.11805865768113633</v>
      </c>
      <c r="C127" s="2">
        <f t="shared" si="11"/>
        <v>20</v>
      </c>
      <c r="D127" s="22">
        <v>500000</v>
      </c>
      <c r="E127" s="71">
        <v>170000</v>
      </c>
      <c r="F127" s="71">
        <v>600000</v>
      </c>
      <c r="G127" s="71">
        <v>0</v>
      </c>
      <c r="H127" s="71">
        <v>0</v>
      </c>
      <c r="I127" s="80">
        <v>70000</v>
      </c>
    </row>
    <row r="128" spans="1:9" x14ac:dyDescent="0.35">
      <c r="A128" s="2">
        <v>101</v>
      </c>
      <c r="B128" s="2">
        <v>0.66016344046681208</v>
      </c>
      <c r="C128" s="2">
        <f t="shared" si="11"/>
        <v>35</v>
      </c>
      <c r="D128" s="22">
        <v>750000</v>
      </c>
      <c r="E128" s="71">
        <v>0</v>
      </c>
      <c r="F128" s="71">
        <v>600000</v>
      </c>
      <c r="G128" s="71">
        <v>125000</v>
      </c>
      <c r="H128" s="71">
        <v>110000</v>
      </c>
      <c r="I128" s="80">
        <v>165000</v>
      </c>
    </row>
    <row r="129" spans="1:9" x14ac:dyDescent="0.35">
      <c r="A129" s="2">
        <v>102</v>
      </c>
      <c r="B129" s="2">
        <v>0.55790690056052816</v>
      </c>
      <c r="C129" s="2">
        <f t="shared" si="11"/>
        <v>30</v>
      </c>
      <c r="D129" s="22">
        <v>750000</v>
      </c>
      <c r="E129" s="71">
        <v>0</v>
      </c>
      <c r="F129" s="71">
        <v>600000</v>
      </c>
      <c r="G129" s="71">
        <v>0</v>
      </c>
      <c r="H129" s="71">
        <v>0</v>
      </c>
      <c r="I129" s="80">
        <v>150000</v>
      </c>
    </row>
    <row r="130" spans="1:9" x14ac:dyDescent="0.35">
      <c r="A130" s="2">
        <v>103</v>
      </c>
      <c r="B130" s="2">
        <v>0.46243926963019044</v>
      </c>
      <c r="C130" s="2">
        <f t="shared" si="11"/>
        <v>30</v>
      </c>
      <c r="D130" s="22">
        <v>750000</v>
      </c>
      <c r="E130" s="71">
        <v>0</v>
      </c>
      <c r="F130" s="71">
        <v>600000</v>
      </c>
      <c r="G130" s="71">
        <v>0</v>
      </c>
      <c r="H130" s="71">
        <v>0</v>
      </c>
      <c r="I130" s="80">
        <v>150000</v>
      </c>
    </row>
    <row r="131" spans="1:9" x14ac:dyDescent="0.35">
      <c r="A131" s="2">
        <v>104</v>
      </c>
      <c r="B131" s="2">
        <v>4.0156890086301411E-3</v>
      </c>
      <c r="C131" s="2">
        <f t="shared" si="11"/>
        <v>20</v>
      </c>
      <c r="D131" s="22">
        <v>500000</v>
      </c>
      <c r="E131" s="71">
        <v>170000</v>
      </c>
      <c r="F131" s="71">
        <v>600000</v>
      </c>
      <c r="G131" s="71">
        <v>0</v>
      </c>
      <c r="H131" s="71">
        <v>0</v>
      </c>
      <c r="I131" s="80">
        <v>70000</v>
      </c>
    </row>
    <row r="132" spans="1:9" x14ac:dyDescent="0.35">
      <c r="A132" s="2">
        <v>105</v>
      </c>
      <c r="B132" s="2">
        <v>0.73170161642396259</v>
      </c>
      <c r="C132" s="2">
        <f t="shared" si="11"/>
        <v>35</v>
      </c>
      <c r="D132" s="22">
        <v>750000</v>
      </c>
      <c r="E132" s="71">
        <v>0</v>
      </c>
      <c r="F132" s="71">
        <v>600000</v>
      </c>
      <c r="G132" s="71">
        <v>125000</v>
      </c>
      <c r="H132" s="71">
        <v>110000</v>
      </c>
      <c r="I132" s="80">
        <v>165000</v>
      </c>
    </row>
    <row r="133" spans="1:9" x14ac:dyDescent="0.35">
      <c r="A133" s="2">
        <v>106</v>
      </c>
      <c r="B133" s="2">
        <v>0.93767580134129114</v>
      </c>
      <c r="C133" s="2">
        <f t="shared" si="11"/>
        <v>40</v>
      </c>
      <c r="D133" s="22">
        <v>750000</v>
      </c>
      <c r="E133" s="71">
        <v>0</v>
      </c>
      <c r="F133" s="71">
        <v>600000</v>
      </c>
      <c r="G133" s="71">
        <v>250000</v>
      </c>
      <c r="H133" s="71">
        <v>220000</v>
      </c>
      <c r="I133" s="80">
        <v>180000</v>
      </c>
    </row>
    <row r="134" spans="1:9" x14ac:dyDescent="0.35">
      <c r="A134" s="2">
        <v>107</v>
      </c>
      <c r="B134" s="2">
        <v>0.42508772121637117</v>
      </c>
      <c r="C134" s="2">
        <f t="shared" si="11"/>
        <v>25</v>
      </c>
      <c r="D134" s="22">
        <v>625000</v>
      </c>
      <c r="E134" s="71">
        <v>85000</v>
      </c>
      <c r="F134" s="71">
        <v>600000</v>
      </c>
      <c r="G134" s="71">
        <v>0</v>
      </c>
      <c r="H134" s="71">
        <v>0</v>
      </c>
      <c r="I134" s="80">
        <v>110000</v>
      </c>
    </row>
    <row r="135" spans="1:9" x14ac:dyDescent="0.35">
      <c r="A135" s="2">
        <v>108</v>
      </c>
      <c r="B135" s="2">
        <v>0.39153728335256932</v>
      </c>
      <c r="C135" s="2">
        <f t="shared" si="11"/>
        <v>25</v>
      </c>
      <c r="D135" s="22">
        <v>625000</v>
      </c>
      <c r="E135" s="71">
        <v>85000</v>
      </c>
      <c r="F135" s="71">
        <v>600000</v>
      </c>
      <c r="G135" s="71">
        <v>0</v>
      </c>
      <c r="H135" s="71">
        <v>0</v>
      </c>
      <c r="I135" s="80">
        <v>110000</v>
      </c>
    </row>
    <row r="136" spans="1:9" x14ac:dyDescent="0.35">
      <c r="A136" s="2">
        <v>109</v>
      </c>
      <c r="B136" s="2">
        <v>0.90888721387370075</v>
      </c>
      <c r="C136" s="2">
        <f t="shared" si="11"/>
        <v>40</v>
      </c>
      <c r="D136" s="22">
        <v>750000</v>
      </c>
      <c r="E136" s="71">
        <v>0</v>
      </c>
      <c r="F136" s="71">
        <v>600000</v>
      </c>
      <c r="G136" s="71">
        <v>250000</v>
      </c>
      <c r="H136" s="71">
        <v>220000</v>
      </c>
      <c r="I136" s="80">
        <v>180000</v>
      </c>
    </row>
    <row r="137" spans="1:9" x14ac:dyDescent="0.35">
      <c r="A137" s="2">
        <v>110</v>
      </c>
      <c r="B137" s="2">
        <v>0.50901150324165712</v>
      </c>
      <c r="C137" s="2">
        <f t="shared" si="11"/>
        <v>30</v>
      </c>
      <c r="D137" s="22">
        <v>750000</v>
      </c>
      <c r="E137" s="71">
        <v>0</v>
      </c>
      <c r="F137" s="71">
        <v>600000</v>
      </c>
      <c r="G137" s="71">
        <v>0</v>
      </c>
      <c r="H137" s="71">
        <v>0</v>
      </c>
      <c r="I137" s="80">
        <v>150000</v>
      </c>
    </row>
    <row r="138" spans="1:9" x14ac:dyDescent="0.35">
      <c r="A138" s="2">
        <v>111</v>
      </c>
      <c r="B138" s="2">
        <v>0.32432141581489593</v>
      </c>
      <c r="C138" s="2">
        <f t="shared" si="11"/>
        <v>25</v>
      </c>
      <c r="D138" s="22">
        <v>625000</v>
      </c>
      <c r="E138" s="71">
        <v>85000</v>
      </c>
      <c r="F138" s="71">
        <v>600000</v>
      </c>
      <c r="G138" s="71">
        <v>0</v>
      </c>
      <c r="H138" s="71">
        <v>0</v>
      </c>
      <c r="I138" s="80">
        <v>110000</v>
      </c>
    </row>
    <row r="139" spans="1:9" x14ac:dyDescent="0.35">
      <c r="A139" s="2">
        <v>112</v>
      </c>
      <c r="B139" s="2">
        <v>0.10423667492364053</v>
      </c>
      <c r="C139" s="2">
        <f t="shared" si="11"/>
        <v>20</v>
      </c>
      <c r="D139" s="22">
        <v>500000</v>
      </c>
      <c r="E139" s="71">
        <v>170000</v>
      </c>
      <c r="F139" s="71">
        <v>600000</v>
      </c>
      <c r="G139" s="71">
        <v>0</v>
      </c>
      <c r="H139" s="71">
        <v>0</v>
      </c>
      <c r="I139" s="80">
        <v>70000</v>
      </c>
    </row>
    <row r="140" spans="1:9" x14ac:dyDescent="0.35">
      <c r="A140" s="2">
        <v>113</v>
      </c>
      <c r="B140" s="2">
        <v>0.31868618575360952</v>
      </c>
      <c r="C140" s="2">
        <f t="shared" si="11"/>
        <v>25</v>
      </c>
      <c r="D140" s="22">
        <v>625000</v>
      </c>
      <c r="E140" s="71">
        <v>85000</v>
      </c>
      <c r="F140" s="71">
        <v>600000</v>
      </c>
      <c r="G140" s="71">
        <v>0</v>
      </c>
      <c r="H140" s="71">
        <v>0</v>
      </c>
      <c r="I140" s="80">
        <v>110000</v>
      </c>
    </row>
    <row r="141" spans="1:9" x14ac:dyDescent="0.35">
      <c r="A141" s="2">
        <v>114</v>
      </c>
      <c r="B141" s="2">
        <v>0.92961552046276541</v>
      </c>
      <c r="C141" s="2">
        <f t="shared" si="11"/>
        <v>40</v>
      </c>
      <c r="D141" s="22">
        <v>750000</v>
      </c>
      <c r="E141" s="71">
        <v>0</v>
      </c>
      <c r="F141" s="71">
        <v>600000</v>
      </c>
      <c r="G141" s="71">
        <v>250000</v>
      </c>
      <c r="H141" s="71">
        <v>220000</v>
      </c>
      <c r="I141" s="80">
        <v>180000</v>
      </c>
    </row>
    <row r="142" spans="1:9" x14ac:dyDescent="0.35">
      <c r="A142" s="2">
        <v>115</v>
      </c>
      <c r="B142" s="2">
        <v>0.40950684198248954</v>
      </c>
      <c r="C142" s="2">
        <f t="shared" si="11"/>
        <v>25</v>
      </c>
      <c r="D142" s="22">
        <v>625000</v>
      </c>
      <c r="E142" s="71">
        <v>85000</v>
      </c>
      <c r="F142" s="71">
        <v>600000</v>
      </c>
      <c r="G142" s="71">
        <v>0</v>
      </c>
      <c r="H142" s="71">
        <v>0</v>
      </c>
      <c r="I142" s="80">
        <v>110000</v>
      </c>
    </row>
    <row r="143" spans="1:9" x14ac:dyDescent="0.35">
      <c r="A143" s="2">
        <v>116</v>
      </c>
      <c r="B143" s="2">
        <v>0.24065821878580751</v>
      </c>
      <c r="C143" s="2">
        <f t="shared" si="11"/>
        <v>20</v>
      </c>
      <c r="D143" s="22">
        <v>500000</v>
      </c>
      <c r="E143" s="71">
        <v>170000</v>
      </c>
      <c r="F143" s="71">
        <v>600000</v>
      </c>
      <c r="G143" s="71">
        <v>0</v>
      </c>
      <c r="H143" s="71">
        <v>0</v>
      </c>
      <c r="I143" s="80">
        <v>70000</v>
      </c>
    </row>
    <row r="144" spans="1:9" x14ac:dyDescent="0.35">
      <c r="A144" s="2">
        <v>117</v>
      </c>
      <c r="B144" s="2">
        <v>0.28304351631624958</v>
      </c>
      <c r="C144" s="2">
        <f t="shared" si="11"/>
        <v>20</v>
      </c>
      <c r="D144" s="22">
        <v>500000</v>
      </c>
      <c r="E144" s="71">
        <v>170000</v>
      </c>
      <c r="F144" s="71">
        <v>600000</v>
      </c>
      <c r="G144" s="71">
        <v>0</v>
      </c>
      <c r="H144" s="71">
        <v>0</v>
      </c>
      <c r="I144" s="80">
        <v>70000</v>
      </c>
    </row>
    <row r="145" spans="1:9" x14ac:dyDescent="0.35">
      <c r="A145" s="2">
        <v>118</v>
      </c>
      <c r="B145" s="2">
        <v>0.65198467629342272</v>
      </c>
      <c r="C145" s="2">
        <f t="shared" si="11"/>
        <v>35</v>
      </c>
      <c r="D145" s="22">
        <v>750000</v>
      </c>
      <c r="E145" s="71">
        <v>0</v>
      </c>
      <c r="F145" s="71">
        <v>600000</v>
      </c>
      <c r="G145" s="71">
        <v>125000</v>
      </c>
      <c r="H145" s="71">
        <v>110000</v>
      </c>
      <c r="I145" s="80">
        <v>165000</v>
      </c>
    </row>
    <row r="146" spans="1:9" x14ac:dyDescent="0.35">
      <c r="A146" s="2">
        <v>119</v>
      </c>
      <c r="B146" s="2">
        <v>0.23882962396374308</v>
      </c>
      <c r="C146" s="2">
        <f t="shared" si="11"/>
        <v>20</v>
      </c>
      <c r="D146" s="22">
        <v>500000</v>
      </c>
      <c r="E146" s="71">
        <v>170000</v>
      </c>
      <c r="F146" s="71">
        <v>600000</v>
      </c>
      <c r="G146" s="71">
        <v>0</v>
      </c>
      <c r="H146" s="71">
        <v>0</v>
      </c>
      <c r="I146" s="80">
        <v>70000</v>
      </c>
    </row>
    <row r="147" spans="1:9" x14ac:dyDescent="0.35">
      <c r="A147" s="2">
        <v>120</v>
      </c>
      <c r="B147" s="2">
        <v>0.33387097140347866</v>
      </c>
      <c r="C147" s="2">
        <f t="shared" si="11"/>
        <v>25</v>
      </c>
      <c r="D147" s="22">
        <v>625000</v>
      </c>
      <c r="E147" s="71">
        <v>85000</v>
      </c>
      <c r="F147" s="71">
        <v>600000</v>
      </c>
      <c r="G147" s="71">
        <v>0</v>
      </c>
      <c r="H147" s="71">
        <v>0</v>
      </c>
      <c r="I147" s="80">
        <v>110000</v>
      </c>
    </row>
    <row r="148" spans="1:9" x14ac:dyDescent="0.35">
      <c r="A148" s="2">
        <v>121</v>
      </c>
      <c r="B148" s="2">
        <v>0.95961490058242871</v>
      </c>
      <c r="C148" s="2">
        <f t="shared" si="11"/>
        <v>40</v>
      </c>
      <c r="D148" s="22">
        <v>750000</v>
      </c>
      <c r="E148" s="71">
        <v>0</v>
      </c>
      <c r="F148" s="71">
        <v>600000</v>
      </c>
      <c r="G148" s="71">
        <v>250000</v>
      </c>
      <c r="H148" s="71">
        <v>220000</v>
      </c>
      <c r="I148" s="80">
        <v>180000</v>
      </c>
    </row>
    <row r="149" spans="1:9" x14ac:dyDescent="0.35">
      <c r="A149" s="2">
        <v>122</v>
      </c>
      <c r="B149" s="2">
        <v>0.6506851851569263</v>
      </c>
      <c r="C149" s="2">
        <f t="shared" si="11"/>
        <v>35</v>
      </c>
      <c r="D149" s="22">
        <v>750000</v>
      </c>
      <c r="E149" s="71">
        <v>0</v>
      </c>
      <c r="F149" s="71">
        <v>600000</v>
      </c>
      <c r="G149" s="71">
        <v>125000</v>
      </c>
      <c r="H149" s="71">
        <v>110000</v>
      </c>
      <c r="I149" s="80">
        <v>165000</v>
      </c>
    </row>
    <row r="150" spans="1:9" x14ac:dyDescent="0.35">
      <c r="A150" s="2">
        <v>123</v>
      </c>
      <c r="B150" s="2">
        <v>0.59122546018134248</v>
      </c>
      <c r="C150" s="2">
        <f t="shared" si="11"/>
        <v>30</v>
      </c>
      <c r="D150" s="22">
        <v>750000</v>
      </c>
      <c r="E150" s="71">
        <v>0</v>
      </c>
      <c r="F150" s="71">
        <v>600000</v>
      </c>
      <c r="G150" s="71">
        <v>0</v>
      </c>
      <c r="H150" s="71">
        <v>0</v>
      </c>
      <c r="I150" s="80">
        <v>150000</v>
      </c>
    </row>
    <row r="151" spans="1:9" x14ac:dyDescent="0.35">
      <c r="A151" s="2">
        <v>124</v>
      </c>
      <c r="B151" s="2">
        <v>0.51372659566864476</v>
      </c>
      <c r="C151" s="2">
        <f t="shared" si="11"/>
        <v>30</v>
      </c>
      <c r="D151" s="22">
        <v>750000</v>
      </c>
      <c r="E151" s="71">
        <v>0</v>
      </c>
      <c r="F151" s="71">
        <v>600000</v>
      </c>
      <c r="G151" s="71">
        <v>0</v>
      </c>
      <c r="H151" s="71">
        <v>0</v>
      </c>
      <c r="I151" s="80">
        <v>150000</v>
      </c>
    </row>
    <row r="152" spans="1:9" x14ac:dyDescent="0.35">
      <c r="A152" s="2">
        <v>125</v>
      </c>
      <c r="B152" s="2">
        <v>0.32101792393960615</v>
      </c>
      <c r="C152" s="2">
        <f t="shared" si="11"/>
        <v>25</v>
      </c>
      <c r="D152" s="22">
        <v>625000</v>
      </c>
      <c r="E152" s="71">
        <v>85000</v>
      </c>
      <c r="F152" s="71">
        <v>600000</v>
      </c>
      <c r="G152" s="71">
        <v>0</v>
      </c>
      <c r="H152" s="71">
        <v>0</v>
      </c>
      <c r="I152" s="80">
        <v>110000</v>
      </c>
    </row>
    <row r="153" spans="1:9" x14ac:dyDescent="0.35">
      <c r="A153" s="2">
        <v>126</v>
      </c>
      <c r="B153" s="2">
        <v>0.64401919230895421</v>
      </c>
      <c r="C153" s="2">
        <f t="shared" si="11"/>
        <v>35</v>
      </c>
      <c r="D153" s="22">
        <v>750000</v>
      </c>
      <c r="E153" s="71">
        <v>0</v>
      </c>
      <c r="F153" s="71">
        <v>600000</v>
      </c>
      <c r="G153" s="71">
        <v>125000</v>
      </c>
      <c r="H153" s="71">
        <v>110000</v>
      </c>
      <c r="I153" s="80">
        <v>165000</v>
      </c>
    </row>
    <row r="154" spans="1:9" x14ac:dyDescent="0.35">
      <c r="A154" s="2">
        <v>127</v>
      </c>
      <c r="B154" s="2">
        <v>0.9085449242288719</v>
      </c>
      <c r="C154" s="2">
        <f t="shared" si="11"/>
        <v>40</v>
      </c>
      <c r="D154" s="22">
        <v>750000</v>
      </c>
      <c r="E154" s="71">
        <v>0</v>
      </c>
      <c r="F154" s="71">
        <v>600000</v>
      </c>
      <c r="G154" s="71">
        <v>250000</v>
      </c>
      <c r="H154" s="71">
        <v>220000</v>
      </c>
      <c r="I154" s="80">
        <v>180000</v>
      </c>
    </row>
    <row r="155" spans="1:9" x14ac:dyDescent="0.35">
      <c r="A155" s="2">
        <v>128</v>
      </c>
      <c r="B155" s="2">
        <v>0.79574616285022737</v>
      </c>
      <c r="C155" s="2">
        <f t="shared" si="11"/>
        <v>35</v>
      </c>
      <c r="D155" s="22">
        <v>750000</v>
      </c>
      <c r="E155" s="71">
        <v>0</v>
      </c>
      <c r="F155" s="71">
        <v>600000</v>
      </c>
      <c r="G155" s="71">
        <v>125000</v>
      </c>
      <c r="H155" s="71">
        <v>110000</v>
      </c>
      <c r="I155" s="80">
        <v>165000</v>
      </c>
    </row>
    <row r="156" spans="1:9" x14ac:dyDescent="0.35">
      <c r="A156" s="2">
        <v>129</v>
      </c>
      <c r="B156" s="2">
        <v>7.913571327461566E-2</v>
      </c>
      <c r="C156" s="2">
        <f t="shared" si="11"/>
        <v>20</v>
      </c>
      <c r="D156" s="22">
        <v>500000</v>
      </c>
      <c r="E156" s="71">
        <v>170000</v>
      </c>
      <c r="F156" s="71">
        <v>600000</v>
      </c>
      <c r="G156" s="71">
        <v>0</v>
      </c>
      <c r="H156" s="71">
        <v>0</v>
      </c>
      <c r="I156" s="80">
        <v>70000</v>
      </c>
    </row>
    <row r="157" spans="1:9" x14ac:dyDescent="0.35">
      <c r="A157" s="2">
        <v>130</v>
      </c>
      <c r="B157" s="2">
        <v>0.21695746317851972</v>
      </c>
      <c r="C157" s="2">
        <f t="shared" ref="C157:C220" si="12">VLOOKUP(B157,$D$5:$F$10,2,TRUE)</f>
        <v>20</v>
      </c>
      <c r="D157" s="22">
        <v>500000</v>
      </c>
      <c r="E157" s="71">
        <v>170000</v>
      </c>
      <c r="F157" s="71">
        <v>600000</v>
      </c>
      <c r="G157" s="71">
        <v>0</v>
      </c>
      <c r="H157" s="71">
        <v>0</v>
      </c>
      <c r="I157" s="80">
        <v>70000</v>
      </c>
    </row>
    <row r="158" spans="1:9" x14ac:dyDescent="0.35">
      <c r="A158" s="2">
        <v>131</v>
      </c>
      <c r="B158" s="2">
        <v>0.98215623577316791</v>
      </c>
      <c r="C158" s="2">
        <f t="shared" si="12"/>
        <v>40</v>
      </c>
      <c r="D158" s="22">
        <v>750000</v>
      </c>
      <c r="E158" s="71">
        <v>0</v>
      </c>
      <c r="F158" s="71">
        <v>600000</v>
      </c>
      <c r="G158" s="71">
        <v>250000</v>
      </c>
      <c r="H158" s="71">
        <v>220000</v>
      </c>
      <c r="I158" s="80">
        <v>180000</v>
      </c>
    </row>
    <row r="159" spans="1:9" x14ac:dyDescent="0.35">
      <c r="A159" s="2">
        <v>132</v>
      </c>
      <c r="B159" s="2">
        <v>0.18635083661331053</v>
      </c>
      <c r="C159" s="2">
        <f t="shared" si="12"/>
        <v>20</v>
      </c>
      <c r="D159" s="22">
        <v>500000</v>
      </c>
      <c r="E159" s="71">
        <v>170000</v>
      </c>
      <c r="F159" s="71">
        <v>600000</v>
      </c>
      <c r="G159" s="71">
        <v>0</v>
      </c>
      <c r="H159" s="71">
        <v>0</v>
      </c>
      <c r="I159" s="80">
        <v>70000</v>
      </c>
    </row>
    <row r="160" spans="1:9" x14ac:dyDescent="0.35">
      <c r="A160" s="2">
        <v>133</v>
      </c>
      <c r="B160" s="2">
        <v>0.79335761415419592</v>
      </c>
      <c r="C160" s="2">
        <f t="shared" si="12"/>
        <v>35</v>
      </c>
      <c r="D160" s="22">
        <v>750000</v>
      </c>
      <c r="E160" s="71">
        <v>0</v>
      </c>
      <c r="F160" s="71">
        <v>600000</v>
      </c>
      <c r="G160" s="71">
        <v>125000</v>
      </c>
      <c r="H160" s="71">
        <v>110000</v>
      </c>
      <c r="I160" s="80">
        <v>165000</v>
      </c>
    </row>
    <row r="161" spans="1:9" x14ac:dyDescent="0.35">
      <c r="A161" s="2">
        <v>134</v>
      </c>
      <c r="B161" s="2">
        <v>0.6943797210319862</v>
      </c>
      <c r="C161" s="2">
        <f t="shared" si="12"/>
        <v>35</v>
      </c>
      <c r="D161" s="22">
        <v>750000</v>
      </c>
      <c r="E161" s="71">
        <v>0</v>
      </c>
      <c r="F161" s="71">
        <v>600000</v>
      </c>
      <c r="G161" s="71">
        <v>125000</v>
      </c>
      <c r="H161" s="71">
        <v>110000</v>
      </c>
      <c r="I161" s="80">
        <v>165000</v>
      </c>
    </row>
    <row r="162" spans="1:9" x14ac:dyDescent="0.35">
      <c r="A162" s="2">
        <v>135</v>
      </c>
      <c r="B162" s="2">
        <v>0.58522793004306284</v>
      </c>
      <c r="C162" s="2">
        <f t="shared" si="12"/>
        <v>30</v>
      </c>
      <c r="D162" s="22">
        <v>750000</v>
      </c>
      <c r="E162" s="71">
        <v>0</v>
      </c>
      <c r="F162" s="71">
        <v>600000</v>
      </c>
      <c r="G162" s="71">
        <v>0</v>
      </c>
      <c r="H162" s="71">
        <v>0</v>
      </c>
      <c r="I162" s="80">
        <v>150000</v>
      </c>
    </row>
    <row r="163" spans="1:9" x14ac:dyDescent="0.35">
      <c r="A163" s="2">
        <v>136</v>
      </c>
      <c r="B163" s="2">
        <v>0.5133501747126612</v>
      </c>
      <c r="C163" s="2">
        <f t="shared" si="12"/>
        <v>30</v>
      </c>
      <c r="D163" s="22">
        <v>750000</v>
      </c>
      <c r="E163" s="71">
        <v>0</v>
      </c>
      <c r="F163" s="71">
        <v>600000</v>
      </c>
      <c r="G163" s="71">
        <v>0</v>
      </c>
      <c r="H163" s="71">
        <v>0</v>
      </c>
      <c r="I163" s="80">
        <v>150000</v>
      </c>
    </row>
    <row r="164" spans="1:9" x14ac:dyDescent="0.35">
      <c r="A164" s="2">
        <v>137</v>
      </c>
      <c r="B164" s="2">
        <v>0.15503688381984415</v>
      </c>
      <c r="C164" s="2">
        <f t="shared" si="12"/>
        <v>20</v>
      </c>
      <c r="D164" s="22">
        <v>500000</v>
      </c>
      <c r="E164" s="71">
        <v>170000</v>
      </c>
      <c r="F164" s="71">
        <v>600000</v>
      </c>
      <c r="G164" s="71">
        <v>0</v>
      </c>
      <c r="H164" s="71">
        <v>0</v>
      </c>
      <c r="I164" s="80">
        <v>70000</v>
      </c>
    </row>
    <row r="165" spans="1:9" x14ac:dyDescent="0.35">
      <c r="A165" s="2">
        <v>138</v>
      </c>
      <c r="B165" s="2">
        <v>0.43364161753063557</v>
      </c>
      <c r="C165" s="2">
        <f t="shared" si="12"/>
        <v>25</v>
      </c>
      <c r="D165" s="22">
        <v>625000</v>
      </c>
      <c r="E165" s="71">
        <v>85000</v>
      </c>
      <c r="F165" s="71">
        <v>600000</v>
      </c>
      <c r="G165" s="71">
        <v>0</v>
      </c>
      <c r="H165" s="71">
        <v>0</v>
      </c>
      <c r="I165" s="80">
        <v>110000</v>
      </c>
    </row>
    <row r="166" spans="1:9" x14ac:dyDescent="0.35">
      <c r="A166" s="2">
        <v>139</v>
      </c>
      <c r="B166" s="2">
        <v>0.38789634803253625</v>
      </c>
      <c r="C166" s="2">
        <f t="shared" si="12"/>
        <v>25</v>
      </c>
      <c r="D166" s="22">
        <v>625000</v>
      </c>
      <c r="E166" s="71">
        <v>85000</v>
      </c>
      <c r="F166" s="71">
        <v>600000</v>
      </c>
      <c r="G166" s="71">
        <v>0</v>
      </c>
      <c r="H166" s="71">
        <v>0</v>
      </c>
      <c r="I166" s="80">
        <v>110000</v>
      </c>
    </row>
    <row r="167" spans="1:9" x14ac:dyDescent="0.35">
      <c r="A167" s="2">
        <v>140</v>
      </c>
      <c r="B167" s="2">
        <v>0.53987387721288949</v>
      </c>
      <c r="C167" s="2">
        <f t="shared" si="12"/>
        <v>30</v>
      </c>
      <c r="D167" s="22">
        <v>750000</v>
      </c>
      <c r="E167" s="71">
        <v>0</v>
      </c>
      <c r="F167" s="71">
        <v>600000</v>
      </c>
      <c r="G167" s="71">
        <v>0</v>
      </c>
      <c r="H167" s="71">
        <v>0</v>
      </c>
      <c r="I167" s="80">
        <v>150000</v>
      </c>
    </row>
    <row r="168" spans="1:9" x14ac:dyDescent="0.35">
      <c r="A168" s="2">
        <v>141</v>
      </c>
      <c r="B168" s="2">
        <v>0.71466851410961052</v>
      </c>
      <c r="C168" s="2">
        <f t="shared" si="12"/>
        <v>35</v>
      </c>
      <c r="D168" s="22">
        <v>750000</v>
      </c>
      <c r="E168" s="71">
        <v>0</v>
      </c>
      <c r="F168" s="71">
        <v>600000</v>
      </c>
      <c r="G168" s="71">
        <v>125000</v>
      </c>
      <c r="H168" s="71">
        <v>110000</v>
      </c>
      <c r="I168" s="80">
        <v>165000</v>
      </c>
    </row>
    <row r="169" spans="1:9" x14ac:dyDescent="0.35">
      <c r="A169" s="2">
        <v>142</v>
      </c>
      <c r="B169" s="2">
        <v>0.47500784600636581</v>
      </c>
      <c r="C169" s="2">
        <f t="shared" si="12"/>
        <v>30</v>
      </c>
      <c r="D169" s="22">
        <v>750000</v>
      </c>
      <c r="E169" s="71">
        <v>0</v>
      </c>
      <c r="F169" s="71">
        <v>600000</v>
      </c>
      <c r="G169" s="71">
        <v>0</v>
      </c>
      <c r="H169" s="71">
        <v>0</v>
      </c>
      <c r="I169" s="80">
        <v>150000</v>
      </c>
    </row>
    <row r="170" spans="1:9" x14ac:dyDescent="0.35">
      <c r="A170" s="2">
        <v>143</v>
      </c>
      <c r="B170" s="2">
        <v>0.21471512105720547</v>
      </c>
      <c r="C170" s="2">
        <f t="shared" si="12"/>
        <v>20</v>
      </c>
      <c r="D170" s="22">
        <v>500000</v>
      </c>
      <c r="E170" s="71">
        <v>170000</v>
      </c>
      <c r="F170" s="71">
        <v>600000</v>
      </c>
      <c r="G170" s="71">
        <v>0</v>
      </c>
      <c r="H170" s="71">
        <v>0</v>
      </c>
      <c r="I170" s="80">
        <v>70000</v>
      </c>
    </row>
    <row r="171" spans="1:9" x14ac:dyDescent="0.35">
      <c r="A171" s="2">
        <v>144</v>
      </c>
      <c r="B171" s="2">
        <v>0.46608426654101465</v>
      </c>
      <c r="C171" s="2">
        <f t="shared" si="12"/>
        <v>30</v>
      </c>
      <c r="D171" s="22">
        <v>750000</v>
      </c>
      <c r="E171" s="71">
        <v>0</v>
      </c>
      <c r="F171" s="71">
        <v>600000</v>
      </c>
      <c r="G171" s="71">
        <v>0</v>
      </c>
      <c r="H171" s="71">
        <v>0</v>
      </c>
      <c r="I171" s="80">
        <v>150000</v>
      </c>
    </row>
    <row r="172" spans="1:9" x14ac:dyDescent="0.35">
      <c r="A172" s="2">
        <v>145</v>
      </c>
      <c r="B172" s="2">
        <v>0.26639326750525028</v>
      </c>
      <c r="C172" s="2">
        <f t="shared" si="12"/>
        <v>20</v>
      </c>
      <c r="D172" s="22">
        <v>500000</v>
      </c>
      <c r="E172" s="71">
        <v>170000</v>
      </c>
      <c r="F172" s="71">
        <v>600000</v>
      </c>
      <c r="G172" s="71">
        <v>0</v>
      </c>
      <c r="H172" s="71">
        <v>0</v>
      </c>
      <c r="I172" s="80">
        <v>70000</v>
      </c>
    </row>
    <row r="173" spans="1:9" x14ac:dyDescent="0.35">
      <c r="A173" s="2">
        <v>146</v>
      </c>
      <c r="B173" s="2">
        <v>0.91096925951002927</v>
      </c>
      <c r="C173" s="2">
        <f t="shared" si="12"/>
        <v>40</v>
      </c>
      <c r="D173" s="22">
        <v>750000</v>
      </c>
      <c r="E173" s="71">
        <v>0</v>
      </c>
      <c r="F173" s="71">
        <v>600000</v>
      </c>
      <c r="G173" s="71">
        <v>250000</v>
      </c>
      <c r="H173" s="71">
        <v>220000</v>
      </c>
      <c r="I173" s="80">
        <v>180000</v>
      </c>
    </row>
    <row r="174" spans="1:9" x14ac:dyDescent="0.35">
      <c r="A174" s="2">
        <v>147</v>
      </c>
      <c r="B174" s="2">
        <v>0.34073427494459096</v>
      </c>
      <c r="C174" s="2">
        <f t="shared" si="12"/>
        <v>25</v>
      </c>
      <c r="D174" s="22">
        <v>625000</v>
      </c>
      <c r="E174" s="71">
        <v>85000</v>
      </c>
      <c r="F174" s="71">
        <v>600000</v>
      </c>
      <c r="G174" s="71">
        <v>0</v>
      </c>
      <c r="H174" s="71">
        <v>0</v>
      </c>
      <c r="I174" s="80">
        <v>110000</v>
      </c>
    </row>
    <row r="175" spans="1:9" x14ac:dyDescent="0.35">
      <c r="A175" s="2">
        <v>148</v>
      </c>
      <c r="B175" s="2">
        <v>0.80253145856314456</v>
      </c>
      <c r="C175" s="2">
        <f t="shared" si="12"/>
        <v>40</v>
      </c>
      <c r="D175" s="22">
        <v>750000</v>
      </c>
      <c r="E175" s="71">
        <v>0</v>
      </c>
      <c r="F175" s="71">
        <v>600000</v>
      </c>
      <c r="G175" s="71">
        <v>250000</v>
      </c>
      <c r="H175" s="71">
        <v>220000</v>
      </c>
      <c r="I175" s="80">
        <v>180000</v>
      </c>
    </row>
    <row r="176" spans="1:9" x14ac:dyDescent="0.35">
      <c r="A176" s="2">
        <v>149</v>
      </c>
      <c r="B176" s="2">
        <v>0.18602897238178639</v>
      </c>
      <c r="C176" s="2">
        <f t="shared" si="12"/>
        <v>20</v>
      </c>
      <c r="D176" s="22">
        <v>500000</v>
      </c>
      <c r="E176" s="71">
        <v>170000</v>
      </c>
      <c r="F176" s="71">
        <v>600000</v>
      </c>
      <c r="G176" s="71">
        <v>0</v>
      </c>
      <c r="H176" s="71">
        <v>0</v>
      </c>
      <c r="I176" s="80">
        <v>70000</v>
      </c>
    </row>
    <row r="177" spans="1:9" x14ac:dyDescent="0.35">
      <c r="A177" s="2">
        <v>150</v>
      </c>
      <c r="B177" s="2">
        <v>0.89340705401328557</v>
      </c>
      <c r="C177" s="2">
        <f t="shared" si="12"/>
        <v>40</v>
      </c>
      <c r="D177" s="22">
        <v>750000</v>
      </c>
      <c r="E177" s="71">
        <v>0</v>
      </c>
      <c r="F177" s="71">
        <v>600000</v>
      </c>
      <c r="G177" s="71">
        <v>250000</v>
      </c>
      <c r="H177" s="71">
        <v>220000</v>
      </c>
      <c r="I177" s="80">
        <v>180000</v>
      </c>
    </row>
    <row r="178" spans="1:9" x14ac:dyDescent="0.35">
      <c r="A178" s="2">
        <v>151</v>
      </c>
      <c r="B178" s="2">
        <v>0.88375451100557012</v>
      </c>
      <c r="C178" s="2">
        <f t="shared" si="12"/>
        <v>40</v>
      </c>
      <c r="D178" s="22">
        <v>750000</v>
      </c>
      <c r="E178" s="71">
        <v>0</v>
      </c>
      <c r="F178" s="71">
        <v>600000</v>
      </c>
      <c r="G178" s="71">
        <v>250000</v>
      </c>
      <c r="H178" s="71">
        <v>220000</v>
      </c>
      <c r="I178" s="80">
        <v>180000</v>
      </c>
    </row>
    <row r="179" spans="1:9" x14ac:dyDescent="0.35">
      <c r="A179" s="2">
        <v>152</v>
      </c>
      <c r="B179" s="2">
        <v>0.24964095737096936</v>
      </c>
      <c r="C179" s="2">
        <f t="shared" si="12"/>
        <v>20</v>
      </c>
      <c r="D179" s="22">
        <v>500000</v>
      </c>
      <c r="E179" s="71">
        <v>170000</v>
      </c>
      <c r="F179" s="71">
        <v>600000</v>
      </c>
      <c r="G179" s="71">
        <v>0</v>
      </c>
      <c r="H179" s="71">
        <v>0</v>
      </c>
      <c r="I179" s="80">
        <v>70000</v>
      </c>
    </row>
    <row r="180" spans="1:9" x14ac:dyDescent="0.35">
      <c r="A180" s="2">
        <v>153</v>
      </c>
      <c r="B180" s="2">
        <v>8.3305571376920406E-2</v>
      </c>
      <c r="C180" s="2">
        <f t="shared" si="12"/>
        <v>20</v>
      </c>
      <c r="D180" s="22">
        <v>500000</v>
      </c>
      <c r="E180" s="71">
        <v>170000</v>
      </c>
      <c r="F180" s="71">
        <v>600000</v>
      </c>
      <c r="G180" s="71">
        <v>0</v>
      </c>
      <c r="H180" s="71">
        <v>0</v>
      </c>
      <c r="I180" s="80">
        <v>70000</v>
      </c>
    </row>
    <row r="181" spans="1:9" x14ac:dyDescent="0.35">
      <c r="A181" s="2">
        <v>154</v>
      </c>
      <c r="B181" s="2">
        <v>0.9671117095125028</v>
      </c>
      <c r="C181" s="2">
        <f t="shared" si="12"/>
        <v>40</v>
      </c>
      <c r="D181" s="22">
        <v>750000</v>
      </c>
      <c r="E181" s="71">
        <v>0</v>
      </c>
      <c r="F181" s="71">
        <v>600000</v>
      </c>
      <c r="G181" s="71">
        <v>250000</v>
      </c>
      <c r="H181" s="71">
        <v>220000</v>
      </c>
      <c r="I181" s="80">
        <v>180000</v>
      </c>
    </row>
    <row r="182" spans="1:9" x14ac:dyDescent="0.35">
      <c r="A182" s="2">
        <v>155</v>
      </c>
      <c r="B182" s="2">
        <v>0.37135414519105714</v>
      </c>
      <c r="C182" s="2">
        <f t="shared" si="12"/>
        <v>25</v>
      </c>
      <c r="D182" s="22">
        <v>625000</v>
      </c>
      <c r="E182" s="71">
        <v>85000</v>
      </c>
      <c r="F182" s="71">
        <v>600000</v>
      </c>
      <c r="G182" s="71">
        <v>0</v>
      </c>
      <c r="H182" s="71">
        <v>0</v>
      </c>
      <c r="I182" s="80">
        <v>110000</v>
      </c>
    </row>
    <row r="183" spans="1:9" x14ac:dyDescent="0.35">
      <c r="A183" s="2">
        <v>156</v>
      </c>
      <c r="B183" s="2">
        <v>0.22690399732517186</v>
      </c>
      <c r="C183" s="2">
        <f t="shared" si="12"/>
        <v>20</v>
      </c>
      <c r="D183" s="22">
        <v>500000</v>
      </c>
      <c r="E183" s="71">
        <v>170000</v>
      </c>
      <c r="F183" s="71">
        <v>600000</v>
      </c>
      <c r="G183" s="71">
        <v>0</v>
      </c>
      <c r="H183" s="71">
        <v>0</v>
      </c>
      <c r="I183" s="80">
        <v>70000</v>
      </c>
    </row>
    <row r="184" spans="1:9" x14ac:dyDescent="0.35">
      <c r="A184" s="2">
        <v>157</v>
      </c>
      <c r="B184" s="2">
        <v>0.83574591314446167</v>
      </c>
      <c r="C184" s="2">
        <f t="shared" si="12"/>
        <v>40</v>
      </c>
      <c r="D184" s="22">
        <v>750000</v>
      </c>
      <c r="E184" s="71">
        <v>0</v>
      </c>
      <c r="F184" s="71">
        <v>600000</v>
      </c>
      <c r="G184" s="71">
        <v>250000</v>
      </c>
      <c r="H184" s="71">
        <v>220000</v>
      </c>
      <c r="I184" s="80">
        <v>180000</v>
      </c>
    </row>
    <row r="185" spans="1:9" x14ac:dyDescent="0.35">
      <c r="A185" s="2">
        <v>158</v>
      </c>
      <c r="B185" s="2">
        <v>0.22198270765159966</v>
      </c>
      <c r="C185" s="2">
        <f t="shared" si="12"/>
        <v>20</v>
      </c>
      <c r="D185" s="22">
        <v>500000</v>
      </c>
      <c r="E185" s="71">
        <v>170000</v>
      </c>
      <c r="F185" s="71">
        <v>600000</v>
      </c>
      <c r="G185" s="71">
        <v>0</v>
      </c>
      <c r="H185" s="71">
        <v>0</v>
      </c>
      <c r="I185" s="80">
        <v>70000</v>
      </c>
    </row>
    <row r="186" spans="1:9" x14ac:dyDescent="0.35">
      <c r="A186" s="2">
        <v>159</v>
      </c>
      <c r="B186" s="2">
        <v>0.30014719797506906</v>
      </c>
      <c r="C186" s="2">
        <f t="shared" si="12"/>
        <v>25</v>
      </c>
      <c r="D186" s="22">
        <v>625000</v>
      </c>
      <c r="E186" s="71">
        <v>85000</v>
      </c>
      <c r="F186" s="71">
        <v>600000</v>
      </c>
      <c r="G186" s="71">
        <v>0</v>
      </c>
      <c r="H186" s="71">
        <v>0</v>
      </c>
      <c r="I186" s="80">
        <v>110000</v>
      </c>
    </row>
    <row r="187" spans="1:9" x14ac:dyDescent="0.35">
      <c r="A187" s="2">
        <v>160</v>
      </c>
      <c r="B187" s="2">
        <v>0.32595326513327461</v>
      </c>
      <c r="C187" s="2">
        <f t="shared" si="12"/>
        <v>25</v>
      </c>
      <c r="D187" s="22">
        <v>625000</v>
      </c>
      <c r="E187" s="71">
        <v>85000</v>
      </c>
      <c r="F187" s="71">
        <v>600000</v>
      </c>
      <c r="G187" s="71">
        <v>0</v>
      </c>
      <c r="H187" s="71">
        <v>0</v>
      </c>
      <c r="I187" s="80">
        <v>110000</v>
      </c>
    </row>
    <row r="188" spans="1:9" x14ac:dyDescent="0.35">
      <c r="A188" s="2">
        <v>161</v>
      </c>
      <c r="B188" s="2">
        <v>0.19832830712119132</v>
      </c>
      <c r="C188" s="2">
        <f t="shared" si="12"/>
        <v>20</v>
      </c>
      <c r="D188" s="22">
        <v>500000</v>
      </c>
      <c r="E188" s="71">
        <v>170000</v>
      </c>
      <c r="F188" s="71">
        <v>600000</v>
      </c>
      <c r="G188" s="71">
        <v>0</v>
      </c>
      <c r="H188" s="71">
        <v>0</v>
      </c>
      <c r="I188" s="80">
        <v>70000</v>
      </c>
    </row>
    <row r="189" spans="1:9" x14ac:dyDescent="0.35">
      <c r="A189" s="2">
        <v>162</v>
      </c>
      <c r="B189" s="2">
        <v>0.28185470496114196</v>
      </c>
      <c r="C189" s="2">
        <f t="shared" si="12"/>
        <v>20</v>
      </c>
      <c r="D189" s="22">
        <v>500000</v>
      </c>
      <c r="E189" s="71">
        <v>170000</v>
      </c>
      <c r="F189" s="71">
        <v>600000</v>
      </c>
      <c r="G189" s="71">
        <v>0</v>
      </c>
      <c r="H189" s="71">
        <v>0</v>
      </c>
      <c r="I189" s="80">
        <v>70000</v>
      </c>
    </row>
    <row r="190" spans="1:9" x14ac:dyDescent="0.35">
      <c r="A190" s="2">
        <v>163</v>
      </c>
      <c r="B190" s="2">
        <v>5.7792125514555481E-2</v>
      </c>
      <c r="C190" s="2">
        <f t="shared" si="12"/>
        <v>20</v>
      </c>
      <c r="D190" s="22">
        <v>500000</v>
      </c>
      <c r="E190" s="71">
        <v>170000</v>
      </c>
      <c r="F190" s="71">
        <v>600000</v>
      </c>
      <c r="G190" s="71">
        <v>0</v>
      </c>
      <c r="H190" s="71">
        <v>0</v>
      </c>
      <c r="I190" s="80">
        <v>70000</v>
      </c>
    </row>
    <row r="191" spans="1:9" x14ac:dyDescent="0.35">
      <c r="A191" s="2">
        <v>164</v>
      </c>
      <c r="B191" s="2">
        <v>0.86515455701034849</v>
      </c>
      <c r="C191" s="2">
        <f t="shared" si="12"/>
        <v>40</v>
      </c>
      <c r="D191" s="22">
        <v>750000</v>
      </c>
      <c r="E191" s="71">
        <v>0</v>
      </c>
      <c r="F191" s="71">
        <v>600000</v>
      </c>
      <c r="G191" s="71">
        <v>250000</v>
      </c>
      <c r="H191" s="71">
        <v>220000</v>
      </c>
      <c r="I191" s="80">
        <v>180000</v>
      </c>
    </row>
    <row r="192" spans="1:9" x14ac:dyDescent="0.35">
      <c r="A192" s="2">
        <v>165</v>
      </c>
      <c r="B192" s="2">
        <v>0.66216707080352144</v>
      </c>
      <c r="C192" s="2">
        <f t="shared" si="12"/>
        <v>35</v>
      </c>
      <c r="D192" s="22">
        <v>750000</v>
      </c>
      <c r="E192" s="71">
        <v>0</v>
      </c>
      <c r="F192" s="71">
        <v>600000</v>
      </c>
      <c r="G192" s="71">
        <v>125000</v>
      </c>
      <c r="H192" s="71">
        <v>110000</v>
      </c>
      <c r="I192" s="80">
        <v>165000</v>
      </c>
    </row>
    <row r="193" spans="1:9" x14ac:dyDescent="0.35">
      <c r="A193" s="2">
        <v>166</v>
      </c>
      <c r="B193" s="2">
        <v>1.1864734809529875E-2</v>
      </c>
      <c r="C193" s="2">
        <f t="shared" si="12"/>
        <v>20</v>
      </c>
      <c r="D193" s="22">
        <v>500000</v>
      </c>
      <c r="E193" s="71">
        <v>170000</v>
      </c>
      <c r="F193" s="71">
        <v>600000</v>
      </c>
      <c r="G193" s="71">
        <v>0</v>
      </c>
      <c r="H193" s="71">
        <v>0</v>
      </c>
      <c r="I193" s="80">
        <v>70000</v>
      </c>
    </row>
    <row r="194" spans="1:9" x14ac:dyDescent="0.35">
      <c r="A194" s="2">
        <v>167</v>
      </c>
      <c r="B194" s="2">
        <v>0.81611388704306664</v>
      </c>
      <c r="C194" s="2">
        <f t="shared" si="12"/>
        <v>40</v>
      </c>
      <c r="D194" s="22">
        <v>750000</v>
      </c>
      <c r="E194" s="71">
        <v>0</v>
      </c>
      <c r="F194" s="71">
        <v>600000</v>
      </c>
      <c r="G194" s="71">
        <v>250000</v>
      </c>
      <c r="H194" s="71">
        <v>220000</v>
      </c>
      <c r="I194" s="80">
        <v>180000</v>
      </c>
    </row>
    <row r="195" spans="1:9" x14ac:dyDescent="0.35">
      <c r="A195" s="2">
        <v>168</v>
      </c>
      <c r="B195" s="2">
        <v>0.27103387350125552</v>
      </c>
      <c r="C195" s="2">
        <f t="shared" si="12"/>
        <v>20</v>
      </c>
      <c r="D195" s="22">
        <v>500000</v>
      </c>
      <c r="E195" s="71">
        <v>170000</v>
      </c>
      <c r="F195" s="71">
        <v>600000</v>
      </c>
      <c r="G195" s="71">
        <v>0</v>
      </c>
      <c r="H195" s="71">
        <v>0</v>
      </c>
      <c r="I195" s="80">
        <v>70000</v>
      </c>
    </row>
    <row r="196" spans="1:9" x14ac:dyDescent="0.35">
      <c r="A196" s="2">
        <v>169</v>
      </c>
      <c r="B196" s="2">
        <v>0.2843595535618948</v>
      </c>
      <c r="C196" s="2">
        <f t="shared" si="12"/>
        <v>20</v>
      </c>
      <c r="D196" s="22">
        <v>500000</v>
      </c>
      <c r="E196" s="71">
        <v>170000</v>
      </c>
      <c r="F196" s="71">
        <v>600000</v>
      </c>
      <c r="G196" s="71">
        <v>0</v>
      </c>
      <c r="H196" s="71">
        <v>0</v>
      </c>
      <c r="I196" s="80">
        <v>70000</v>
      </c>
    </row>
    <row r="197" spans="1:9" x14ac:dyDescent="0.35">
      <c r="A197" s="2">
        <v>170</v>
      </c>
      <c r="B197" s="2">
        <v>0.45027694006913077</v>
      </c>
      <c r="C197" s="2">
        <f t="shared" si="12"/>
        <v>30</v>
      </c>
      <c r="D197" s="22">
        <v>750000</v>
      </c>
      <c r="E197" s="71">
        <v>0</v>
      </c>
      <c r="F197" s="71">
        <v>600000</v>
      </c>
      <c r="G197" s="71">
        <v>0</v>
      </c>
      <c r="H197" s="71">
        <v>0</v>
      </c>
      <c r="I197" s="80">
        <v>150000</v>
      </c>
    </row>
    <row r="198" spans="1:9" x14ac:dyDescent="0.35">
      <c r="A198" s="2">
        <v>171</v>
      </c>
      <c r="B198" s="2">
        <v>0.39426278679199933</v>
      </c>
      <c r="C198" s="2">
        <f t="shared" si="12"/>
        <v>25</v>
      </c>
      <c r="D198" s="22">
        <v>625000</v>
      </c>
      <c r="E198" s="71">
        <v>85000</v>
      </c>
      <c r="F198" s="71">
        <v>600000</v>
      </c>
      <c r="G198" s="71">
        <v>0</v>
      </c>
      <c r="H198" s="71">
        <v>0</v>
      </c>
      <c r="I198" s="80">
        <v>110000</v>
      </c>
    </row>
    <row r="199" spans="1:9" x14ac:dyDescent="0.35">
      <c r="A199" s="2">
        <v>172</v>
      </c>
      <c r="B199" s="2">
        <v>0.71959215150572087</v>
      </c>
      <c r="C199" s="2">
        <f t="shared" si="12"/>
        <v>35</v>
      </c>
      <c r="D199" s="22">
        <v>750000</v>
      </c>
      <c r="E199" s="71">
        <v>0</v>
      </c>
      <c r="F199" s="71">
        <v>600000</v>
      </c>
      <c r="G199" s="71">
        <v>125000</v>
      </c>
      <c r="H199" s="71">
        <v>110000</v>
      </c>
      <c r="I199" s="80">
        <v>165000</v>
      </c>
    </row>
    <row r="200" spans="1:9" x14ac:dyDescent="0.35">
      <c r="A200" s="2">
        <v>173</v>
      </c>
      <c r="B200" s="2">
        <v>0.84358508826127421</v>
      </c>
      <c r="C200" s="2">
        <f t="shared" si="12"/>
        <v>40</v>
      </c>
      <c r="D200" s="22">
        <v>750000</v>
      </c>
      <c r="E200" s="71">
        <v>0</v>
      </c>
      <c r="F200" s="71">
        <v>600000</v>
      </c>
      <c r="G200" s="71">
        <v>250000</v>
      </c>
      <c r="H200" s="71">
        <v>220000</v>
      </c>
      <c r="I200" s="80">
        <v>180000</v>
      </c>
    </row>
    <row r="201" spans="1:9" x14ac:dyDescent="0.35">
      <c r="A201" s="2">
        <v>174</v>
      </c>
      <c r="B201" s="2">
        <v>0.31487758123386644</v>
      </c>
      <c r="C201" s="2">
        <f t="shared" si="12"/>
        <v>25</v>
      </c>
      <c r="D201" s="22">
        <v>625000</v>
      </c>
      <c r="E201" s="71">
        <v>85000</v>
      </c>
      <c r="F201" s="71">
        <v>600000</v>
      </c>
      <c r="G201" s="71">
        <v>0</v>
      </c>
      <c r="H201" s="71">
        <v>0</v>
      </c>
      <c r="I201" s="80">
        <v>110000</v>
      </c>
    </row>
    <row r="202" spans="1:9" x14ac:dyDescent="0.35">
      <c r="A202" s="2">
        <v>175</v>
      </c>
      <c r="B202" s="2">
        <v>0.81703806921261835</v>
      </c>
      <c r="C202" s="2">
        <f t="shared" si="12"/>
        <v>40</v>
      </c>
      <c r="D202" s="22">
        <v>750000</v>
      </c>
      <c r="E202" s="71">
        <v>0</v>
      </c>
      <c r="F202" s="71">
        <v>600000</v>
      </c>
      <c r="G202" s="71">
        <v>250000</v>
      </c>
      <c r="H202" s="71">
        <v>220000</v>
      </c>
      <c r="I202" s="80">
        <v>180000</v>
      </c>
    </row>
    <row r="203" spans="1:9" x14ac:dyDescent="0.35">
      <c r="A203" s="2">
        <v>176</v>
      </c>
      <c r="B203" s="2">
        <v>0.6971618156318572</v>
      </c>
      <c r="C203" s="2">
        <f t="shared" si="12"/>
        <v>35</v>
      </c>
      <c r="D203" s="22">
        <v>750000</v>
      </c>
      <c r="E203" s="71">
        <v>0</v>
      </c>
      <c r="F203" s="71">
        <v>600000</v>
      </c>
      <c r="G203" s="71">
        <v>125000</v>
      </c>
      <c r="H203" s="71">
        <v>110000</v>
      </c>
      <c r="I203" s="80">
        <v>165000</v>
      </c>
    </row>
    <row r="204" spans="1:9" x14ac:dyDescent="0.35">
      <c r="A204" s="2">
        <v>177</v>
      </c>
      <c r="B204" s="2">
        <v>0.86274188520071693</v>
      </c>
      <c r="C204" s="2">
        <f t="shared" si="12"/>
        <v>40</v>
      </c>
      <c r="D204" s="22">
        <v>750000</v>
      </c>
      <c r="E204" s="71">
        <v>0</v>
      </c>
      <c r="F204" s="71">
        <v>600000</v>
      </c>
      <c r="G204" s="71">
        <v>250000</v>
      </c>
      <c r="H204" s="71">
        <v>220000</v>
      </c>
      <c r="I204" s="80">
        <v>180000</v>
      </c>
    </row>
    <row r="205" spans="1:9" x14ac:dyDescent="0.35">
      <c r="A205" s="2">
        <v>178</v>
      </c>
      <c r="B205" s="2">
        <v>0.79674406382468799</v>
      </c>
      <c r="C205" s="2">
        <f t="shared" si="12"/>
        <v>35</v>
      </c>
      <c r="D205" s="22">
        <v>750000</v>
      </c>
      <c r="E205" s="71">
        <v>0</v>
      </c>
      <c r="F205" s="71">
        <v>600000</v>
      </c>
      <c r="G205" s="71">
        <v>125000</v>
      </c>
      <c r="H205" s="71">
        <v>110000</v>
      </c>
      <c r="I205" s="80">
        <v>165000</v>
      </c>
    </row>
    <row r="206" spans="1:9" x14ac:dyDescent="0.35">
      <c r="A206" s="2">
        <v>179</v>
      </c>
      <c r="B206" s="2">
        <v>7.6386059120518546E-2</v>
      </c>
      <c r="C206" s="2">
        <f t="shared" si="12"/>
        <v>20</v>
      </c>
      <c r="D206" s="22">
        <v>500000</v>
      </c>
      <c r="E206" s="71">
        <v>170000</v>
      </c>
      <c r="F206" s="71">
        <v>600000</v>
      </c>
      <c r="G206" s="71">
        <v>0</v>
      </c>
      <c r="H206" s="71">
        <v>0</v>
      </c>
      <c r="I206" s="80">
        <v>70000</v>
      </c>
    </row>
    <row r="207" spans="1:9" x14ac:dyDescent="0.35">
      <c r="A207" s="2">
        <v>180</v>
      </c>
      <c r="B207" s="2">
        <v>0.98462764351837029</v>
      </c>
      <c r="C207" s="2">
        <f t="shared" si="12"/>
        <v>40</v>
      </c>
      <c r="D207" s="22">
        <v>750000</v>
      </c>
      <c r="E207" s="71">
        <v>0</v>
      </c>
      <c r="F207" s="71">
        <v>600000</v>
      </c>
      <c r="G207" s="71">
        <v>250000</v>
      </c>
      <c r="H207" s="71">
        <v>220000</v>
      </c>
      <c r="I207" s="80">
        <v>180000</v>
      </c>
    </row>
    <row r="208" spans="1:9" x14ac:dyDescent="0.35">
      <c r="A208" s="2">
        <v>181</v>
      </c>
      <c r="B208" s="2">
        <v>0.76952832591128939</v>
      </c>
      <c r="C208" s="2">
        <f t="shared" si="12"/>
        <v>35</v>
      </c>
      <c r="D208" s="22">
        <v>750000</v>
      </c>
      <c r="E208" s="71">
        <v>0</v>
      </c>
      <c r="F208" s="71">
        <v>600000</v>
      </c>
      <c r="G208" s="71">
        <v>125000</v>
      </c>
      <c r="H208" s="71">
        <v>110000</v>
      </c>
      <c r="I208" s="80">
        <v>165000</v>
      </c>
    </row>
    <row r="209" spans="1:9" x14ac:dyDescent="0.35">
      <c r="A209" s="2">
        <v>182</v>
      </c>
      <c r="B209" s="2">
        <v>9.6301281629458391E-3</v>
      </c>
      <c r="C209" s="2">
        <f t="shared" si="12"/>
        <v>20</v>
      </c>
      <c r="D209" s="22">
        <v>500000</v>
      </c>
      <c r="E209" s="71">
        <v>170000</v>
      </c>
      <c r="F209" s="71">
        <v>600000</v>
      </c>
      <c r="G209" s="71">
        <v>0</v>
      </c>
      <c r="H209" s="71">
        <v>0</v>
      </c>
      <c r="I209" s="80">
        <v>70000</v>
      </c>
    </row>
    <row r="210" spans="1:9" x14ac:dyDescent="0.35">
      <c r="A210" s="2">
        <v>183</v>
      </c>
      <c r="B210" s="2">
        <v>0.60074269055232443</v>
      </c>
      <c r="C210" s="2">
        <f t="shared" si="12"/>
        <v>35</v>
      </c>
      <c r="D210" s="22">
        <v>750000</v>
      </c>
      <c r="E210" s="71">
        <v>0</v>
      </c>
      <c r="F210" s="71">
        <v>600000</v>
      </c>
      <c r="G210" s="71">
        <v>125000</v>
      </c>
      <c r="H210" s="71">
        <v>110000</v>
      </c>
      <c r="I210" s="80">
        <v>165000</v>
      </c>
    </row>
    <row r="211" spans="1:9" x14ac:dyDescent="0.35">
      <c r="A211" s="2">
        <v>184</v>
      </c>
      <c r="B211" s="2">
        <v>0.13497482976054742</v>
      </c>
      <c r="C211" s="2">
        <f t="shared" si="12"/>
        <v>20</v>
      </c>
      <c r="D211" s="22">
        <v>500000</v>
      </c>
      <c r="E211" s="71">
        <v>170000</v>
      </c>
      <c r="F211" s="71">
        <v>600000</v>
      </c>
      <c r="G211" s="71">
        <v>0</v>
      </c>
      <c r="H211" s="71">
        <v>0</v>
      </c>
      <c r="I211" s="80">
        <v>70000</v>
      </c>
    </row>
    <row r="212" spans="1:9" x14ac:dyDescent="0.35">
      <c r="A212" s="2">
        <v>185</v>
      </c>
      <c r="B212" s="2">
        <v>0.68242035734182127</v>
      </c>
      <c r="C212" s="2">
        <f t="shared" si="12"/>
        <v>35</v>
      </c>
      <c r="D212" s="22">
        <v>750000</v>
      </c>
      <c r="E212" s="71">
        <v>0</v>
      </c>
      <c r="F212" s="71">
        <v>600000</v>
      </c>
      <c r="G212" s="71">
        <v>125000</v>
      </c>
      <c r="H212" s="71">
        <v>110000</v>
      </c>
      <c r="I212" s="80">
        <v>165000</v>
      </c>
    </row>
    <row r="213" spans="1:9" x14ac:dyDescent="0.35">
      <c r="A213" s="2">
        <v>186</v>
      </c>
      <c r="B213" s="2">
        <v>0.12700721428755435</v>
      </c>
      <c r="C213" s="2">
        <f t="shared" si="12"/>
        <v>20</v>
      </c>
      <c r="D213" s="22">
        <v>500000</v>
      </c>
      <c r="E213" s="71">
        <v>170000</v>
      </c>
      <c r="F213" s="71">
        <v>600000</v>
      </c>
      <c r="G213" s="71">
        <v>0</v>
      </c>
      <c r="H213" s="71">
        <v>0</v>
      </c>
      <c r="I213" s="80">
        <v>70000</v>
      </c>
    </row>
    <row r="214" spans="1:9" x14ac:dyDescent="0.35">
      <c r="A214" s="2">
        <v>187</v>
      </c>
      <c r="B214" s="2">
        <v>0.38216413291027762</v>
      </c>
      <c r="C214" s="2">
        <f t="shared" si="12"/>
        <v>25</v>
      </c>
      <c r="D214" s="22">
        <v>625000</v>
      </c>
      <c r="E214" s="71">
        <v>85000</v>
      </c>
      <c r="F214" s="71">
        <v>600000</v>
      </c>
      <c r="G214" s="71">
        <v>0</v>
      </c>
      <c r="H214" s="71">
        <v>0</v>
      </c>
      <c r="I214" s="80">
        <v>110000</v>
      </c>
    </row>
    <row r="215" spans="1:9" x14ac:dyDescent="0.35">
      <c r="A215" s="2">
        <v>188</v>
      </c>
      <c r="B215" s="2">
        <v>0.69086723675415673</v>
      </c>
      <c r="C215" s="2">
        <f t="shared" si="12"/>
        <v>35</v>
      </c>
      <c r="D215" s="22">
        <v>750000</v>
      </c>
      <c r="E215" s="71">
        <v>0</v>
      </c>
      <c r="F215" s="71">
        <v>600000</v>
      </c>
      <c r="G215" s="71">
        <v>125000</v>
      </c>
      <c r="H215" s="71">
        <v>110000</v>
      </c>
      <c r="I215" s="80">
        <v>165000</v>
      </c>
    </row>
    <row r="216" spans="1:9" x14ac:dyDescent="0.35">
      <c r="A216" s="2">
        <v>189</v>
      </c>
      <c r="B216" s="2">
        <v>0.10660902645552184</v>
      </c>
      <c r="C216" s="2">
        <f t="shared" si="12"/>
        <v>20</v>
      </c>
      <c r="D216" s="22">
        <v>500000</v>
      </c>
      <c r="E216" s="71">
        <v>170000</v>
      </c>
      <c r="F216" s="71">
        <v>600000</v>
      </c>
      <c r="G216" s="71">
        <v>0</v>
      </c>
      <c r="H216" s="71">
        <v>0</v>
      </c>
      <c r="I216" s="80">
        <v>70000</v>
      </c>
    </row>
    <row r="217" spans="1:9" x14ac:dyDescent="0.35">
      <c r="A217" s="2">
        <v>190</v>
      </c>
      <c r="B217" s="2">
        <v>0.65144713939380694</v>
      </c>
      <c r="C217" s="2">
        <f t="shared" si="12"/>
        <v>35</v>
      </c>
      <c r="D217" s="22">
        <v>750000</v>
      </c>
      <c r="E217" s="71">
        <v>0</v>
      </c>
      <c r="F217" s="71">
        <v>600000</v>
      </c>
      <c r="G217" s="71">
        <v>125000</v>
      </c>
      <c r="H217" s="71">
        <v>110000</v>
      </c>
      <c r="I217" s="80">
        <v>165000</v>
      </c>
    </row>
    <row r="218" spans="1:9" x14ac:dyDescent="0.35">
      <c r="A218" s="2">
        <v>191</v>
      </c>
      <c r="B218" s="2">
        <v>0.50381644380444091</v>
      </c>
      <c r="C218" s="2">
        <f t="shared" si="12"/>
        <v>30</v>
      </c>
      <c r="D218" s="22">
        <v>750000</v>
      </c>
      <c r="E218" s="71">
        <v>0</v>
      </c>
      <c r="F218" s="71">
        <v>600000</v>
      </c>
      <c r="G218" s="71">
        <v>0</v>
      </c>
      <c r="H218" s="71">
        <v>0</v>
      </c>
      <c r="I218" s="80">
        <v>150000</v>
      </c>
    </row>
    <row r="219" spans="1:9" x14ac:dyDescent="0.35">
      <c r="A219" s="2">
        <v>192</v>
      </c>
      <c r="B219" s="2">
        <v>0.7570555320153296</v>
      </c>
      <c r="C219" s="2">
        <f t="shared" si="12"/>
        <v>35</v>
      </c>
      <c r="D219" s="22">
        <v>750000</v>
      </c>
      <c r="E219" s="71">
        <v>0</v>
      </c>
      <c r="F219" s="71">
        <v>600000</v>
      </c>
      <c r="G219" s="71">
        <v>125000</v>
      </c>
      <c r="H219" s="71">
        <v>110000</v>
      </c>
      <c r="I219" s="80">
        <v>165000</v>
      </c>
    </row>
    <row r="220" spans="1:9" x14ac:dyDescent="0.35">
      <c r="A220" s="2">
        <v>193</v>
      </c>
      <c r="B220" s="2">
        <v>0.37386639220816287</v>
      </c>
      <c r="C220" s="2">
        <f t="shared" si="12"/>
        <v>25</v>
      </c>
      <c r="D220" s="22">
        <v>625000</v>
      </c>
      <c r="E220" s="71">
        <v>85000</v>
      </c>
      <c r="F220" s="71">
        <v>600000</v>
      </c>
      <c r="G220" s="71">
        <v>0</v>
      </c>
      <c r="H220" s="71">
        <v>0</v>
      </c>
      <c r="I220" s="80">
        <v>110000</v>
      </c>
    </row>
    <row r="221" spans="1:9" x14ac:dyDescent="0.35">
      <c r="A221" s="2">
        <v>194</v>
      </c>
      <c r="B221" s="2">
        <v>0.95591687292768257</v>
      </c>
      <c r="C221" s="2">
        <f t="shared" ref="C221:C284" si="13">VLOOKUP(B221,$D$5:$F$10,2,TRUE)</f>
        <v>40</v>
      </c>
      <c r="D221" s="22">
        <v>750000</v>
      </c>
      <c r="E221" s="71">
        <v>0</v>
      </c>
      <c r="F221" s="71">
        <v>600000</v>
      </c>
      <c r="G221" s="71">
        <v>250000</v>
      </c>
      <c r="H221" s="71">
        <v>220000</v>
      </c>
      <c r="I221" s="80">
        <v>180000</v>
      </c>
    </row>
    <row r="222" spans="1:9" x14ac:dyDescent="0.35">
      <c r="A222" s="2">
        <v>195</v>
      </c>
      <c r="B222" s="2">
        <v>0.92578970209059108</v>
      </c>
      <c r="C222" s="2">
        <f t="shared" si="13"/>
        <v>40</v>
      </c>
      <c r="D222" s="22">
        <v>750000</v>
      </c>
      <c r="E222" s="71">
        <v>0</v>
      </c>
      <c r="F222" s="71">
        <v>600000</v>
      </c>
      <c r="G222" s="71">
        <v>250000</v>
      </c>
      <c r="H222" s="71">
        <v>220000</v>
      </c>
      <c r="I222" s="80">
        <v>180000</v>
      </c>
    </row>
    <row r="223" spans="1:9" x14ac:dyDescent="0.35">
      <c r="A223" s="2">
        <v>196</v>
      </c>
      <c r="B223" s="2">
        <v>0.30448771180540501</v>
      </c>
      <c r="C223" s="2">
        <f t="shared" si="13"/>
        <v>25</v>
      </c>
      <c r="D223" s="22">
        <v>625000</v>
      </c>
      <c r="E223" s="71">
        <v>85000</v>
      </c>
      <c r="F223" s="71">
        <v>600000</v>
      </c>
      <c r="G223" s="71">
        <v>0</v>
      </c>
      <c r="H223" s="71">
        <v>0</v>
      </c>
      <c r="I223" s="80">
        <v>110000</v>
      </c>
    </row>
    <row r="224" spans="1:9" x14ac:dyDescent="0.35">
      <c r="A224" s="2">
        <v>197</v>
      </c>
      <c r="B224" s="2">
        <v>0.56689632382749144</v>
      </c>
      <c r="C224" s="2">
        <f t="shared" si="13"/>
        <v>30</v>
      </c>
      <c r="D224" s="22">
        <v>750000</v>
      </c>
      <c r="E224" s="71">
        <v>0</v>
      </c>
      <c r="F224" s="71">
        <v>600000</v>
      </c>
      <c r="G224" s="71">
        <v>0</v>
      </c>
      <c r="H224" s="71">
        <v>0</v>
      </c>
      <c r="I224" s="80">
        <v>150000</v>
      </c>
    </row>
    <row r="225" spans="1:9" x14ac:dyDescent="0.35">
      <c r="A225" s="2">
        <v>198</v>
      </c>
      <c r="B225" s="2">
        <v>0.60353788073559345</v>
      </c>
      <c r="C225" s="2">
        <f t="shared" si="13"/>
        <v>35</v>
      </c>
      <c r="D225" s="22">
        <v>750000</v>
      </c>
      <c r="E225" s="71">
        <v>0</v>
      </c>
      <c r="F225" s="71">
        <v>600000</v>
      </c>
      <c r="G225" s="71">
        <v>125000</v>
      </c>
      <c r="H225" s="71">
        <v>110000</v>
      </c>
      <c r="I225" s="80">
        <v>165000</v>
      </c>
    </row>
    <row r="226" spans="1:9" x14ac:dyDescent="0.35">
      <c r="A226" s="2">
        <v>199</v>
      </c>
      <c r="B226" s="2">
        <v>0.36281911033753311</v>
      </c>
      <c r="C226" s="2">
        <f t="shared" si="13"/>
        <v>25</v>
      </c>
      <c r="D226" s="22">
        <v>625000</v>
      </c>
      <c r="E226" s="71">
        <v>85000</v>
      </c>
      <c r="F226" s="71">
        <v>600000</v>
      </c>
      <c r="G226" s="71">
        <v>0</v>
      </c>
      <c r="H226" s="71">
        <v>0</v>
      </c>
      <c r="I226" s="80">
        <v>110000</v>
      </c>
    </row>
    <row r="227" spans="1:9" x14ac:dyDescent="0.35">
      <c r="A227" s="2">
        <v>200</v>
      </c>
      <c r="B227" s="2">
        <v>0.25384484995226408</v>
      </c>
      <c r="C227" s="2">
        <f t="shared" si="13"/>
        <v>20</v>
      </c>
      <c r="D227" s="22">
        <v>500000</v>
      </c>
      <c r="E227" s="71">
        <v>170000</v>
      </c>
      <c r="F227" s="71">
        <v>600000</v>
      </c>
      <c r="G227" s="71">
        <v>0</v>
      </c>
      <c r="H227" s="71">
        <v>0</v>
      </c>
      <c r="I227" s="80">
        <v>70000</v>
      </c>
    </row>
    <row r="228" spans="1:9" x14ac:dyDescent="0.35">
      <c r="A228" s="2">
        <v>201</v>
      </c>
      <c r="B228" s="2">
        <v>0.68242515893050715</v>
      </c>
      <c r="C228" s="2">
        <f t="shared" si="13"/>
        <v>35</v>
      </c>
      <c r="D228" s="22">
        <v>750000</v>
      </c>
      <c r="E228" s="71">
        <v>0</v>
      </c>
      <c r="F228" s="71">
        <v>600000</v>
      </c>
      <c r="G228" s="71">
        <v>125000</v>
      </c>
      <c r="H228" s="71">
        <v>110000</v>
      </c>
      <c r="I228" s="80">
        <v>165000</v>
      </c>
    </row>
    <row r="229" spans="1:9" x14ac:dyDescent="0.35">
      <c r="A229" s="2">
        <v>202</v>
      </c>
      <c r="B229" s="2">
        <v>0.31342438373810666</v>
      </c>
      <c r="C229" s="2">
        <f t="shared" si="13"/>
        <v>25</v>
      </c>
      <c r="D229" s="22">
        <v>625000</v>
      </c>
      <c r="E229" s="71">
        <v>85000</v>
      </c>
      <c r="F229" s="71">
        <v>600000</v>
      </c>
      <c r="G229" s="71">
        <v>0</v>
      </c>
      <c r="H229" s="71">
        <v>0</v>
      </c>
      <c r="I229" s="80">
        <v>110000</v>
      </c>
    </row>
    <row r="230" spans="1:9" x14ac:dyDescent="0.35">
      <c r="A230" s="2">
        <v>203</v>
      </c>
      <c r="B230" s="2">
        <v>0.17109179815192477</v>
      </c>
      <c r="C230" s="2">
        <f t="shared" si="13"/>
        <v>20</v>
      </c>
      <c r="D230" s="22">
        <v>500000</v>
      </c>
      <c r="E230" s="71">
        <v>170000</v>
      </c>
      <c r="F230" s="71">
        <v>600000</v>
      </c>
      <c r="G230" s="71">
        <v>0</v>
      </c>
      <c r="H230" s="71">
        <v>0</v>
      </c>
      <c r="I230" s="80">
        <v>70000</v>
      </c>
    </row>
    <row r="231" spans="1:9" x14ac:dyDescent="0.35">
      <c r="A231" s="2">
        <v>204</v>
      </c>
      <c r="B231" s="2">
        <v>0.41964063566961007</v>
      </c>
      <c r="C231" s="2">
        <f t="shared" si="13"/>
        <v>25</v>
      </c>
      <c r="D231" s="22">
        <v>625000</v>
      </c>
      <c r="E231" s="71">
        <v>85000</v>
      </c>
      <c r="F231" s="71">
        <v>600000</v>
      </c>
      <c r="G231" s="71">
        <v>0</v>
      </c>
      <c r="H231" s="71">
        <v>0</v>
      </c>
      <c r="I231" s="80">
        <v>110000</v>
      </c>
    </row>
    <row r="232" spans="1:9" x14ac:dyDescent="0.35">
      <c r="A232" s="2">
        <v>205</v>
      </c>
      <c r="B232" s="2">
        <v>0.69665372022959271</v>
      </c>
      <c r="C232" s="2">
        <f t="shared" si="13"/>
        <v>35</v>
      </c>
      <c r="D232" s="22">
        <v>750000</v>
      </c>
      <c r="E232" s="71">
        <v>0</v>
      </c>
      <c r="F232" s="71">
        <v>600000</v>
      </c>
      <c r="G232" s="71">
        <v>125000</v>
      </c>
      <c r="H232" s="71">
        <v>110000</v>
      </c>
      <c r="I232" s="80">
        <v>165000</v>
      </c>
    </row>
    <row r="233" spans="1:9" x14ac:dyDescent="0.35">
      <c r="A233" s="2">
        <v>206</v>
      </c>
      <c r="B233" s="2">
        <v>0.92574408438715761</v>
      </c>
      <c r="C233" s="2">
        <f t="shared" si="13"/>
        <v>40</v>
      </c>
      <c r="D233" s="22">
        <v>750000</v>
      </c>
      <c r="E233" s="71">
        <v>0</v>
      </c>
      <c r="F233" s="71">
        <v>600000</v>
      </c>
      <c r="G233" s="71">
        <v>250000</v>
      </c>
      <c r="H233" s="71">
        <v>220000</v>
      </c>
      <c r="I233" s="80">
        <v>180000</v>
      </c>
    </row>
    <row r="234" spans="1:9" x14ac:dyDescent="0.35">
      <c r="A234" s="2">
        <v>207</v>
      </c>
      <c r="B234" s="2">
        <v>0.50385201903686572</v>
      </c>
      <c r="C234" s="2">
        <f t="shared" si="13"/>
        <v>30</v>
      </c>
      <c r="D234" s="22">
        <v>750000</v>
      </c>
      <c r="E234" s="71">
        <v>0</v>
      </c>
      <c r="F234" s="71">
        <v>600000</v>
      </c>
      <c r="G234" s="71">
        <v>0</v>
      </c>
      <c r="H234" s="71">
        <v>0</v>
      </c>
      <c r="I234" s="80">
        <v>150000</v>
      </c>
    </row>
    <row r="235" spans="1:9" x14ac:dyDescent="0.35">
      <c r="A235" s="2">
        <v>208</v>
      </c>
      <c r="B235" s="2">
        <v>0.62065301123819139</v>
      </c>
      <c r="C235" s="2">
        <f t="shared" si="13"/>
        <v>35</v>
      </c>
      <c r="D235" s="22">
        <v>750000</v>
      </c>
      <c r="E235" s="71">
        <v>0</v>
      </c>
      <c r="F235" s="71">
        <v>600000</v>
      </c>
      <c r="G235" s="71">
        <v>125000</v>
      </c>
      <c r="H235" s="71">
        <v>110000</v>
      </c>
      <c r="I235" s="80">
        <v>165000</v>
      </c>
    </row>
    <row r="236" spans="1:9" x14ac:dyDescent="0.35">
      <c r="A236" s="2">
        <v>209</v>
      </c>
      <c r="B236" s="2">
        <v>3.9858668006372389E-2</v>
      </c>
      <c r="C236" s="2">
        <f t="shared" si="13"/>
        <v>20</v>
      </c>
      <c r="D236" s="22">
        <v>500000</v>
      </c>
      <c r="E236" s="71">
        <v>170000</v>
      </c>
      <c r="F236" s="71">
        <v>600000</v>
      </c>
      <c r="G236" s="71">
        <v>0</v>
      </c>
      <c r="H236" s="71">
        <v>0</v>
      </c>
      <c r="I236" s="80">
        <v>70000</v>
      </c>
    </row>
    <row r="237" spans="1:9" x14ac:dyDescent="0.35">
      <c r="A237" s="2">
        <v>210</v>
      </c>
      <c r="B237" s="2">
        <v>0.89389478033955461</v>
      </c>
      <c r="C237" s="2">
        <f t="shared" si="13"/>
        <v>40</v>
      </c>
      <c r="D237" s="22">
        <v>750000</v>
      </c>
      <c r="E237" s="71">
        <v>0</v>
      </c>
      <c r="F237" s="71">
        <v>600000</v>
      </c>
      <c r="G237" s="71">
        <v>250000</v>
      </c>
      <c r="H237" s="71">
        <v>220000</v>
      </c>
      <c r="I237" s="80">
        <v>180000</v>
      </c>
    </row>
    <row r="238" spans="1:9" x14ac:dyDescent="0.35">
      <c r="A238" s="2">
        <v>211</v>
      </c>
      <c r="B238" s="2">
        <v>0.62481635192423068</v>
      </c>
      <c r="C238" s="2">
        <f t="shared" si="13"/>
        <v>35</v>
      </c>
      <c r="D238" s="22">
        <v>750000</v>
      </c>
      <c r="E238" s="71">
        <v>0</v>
      </c>
      <c r="F238" s="71">
        <v>600000</v>
      </c>
      <c r="G238" s="71">
        <v>125000</v>
      </c>
      <c r="H238" s="71">
        <v>110000</v>
      </c>
      <c r="I238" s="80">
        <v>165000</v>
      </c>
    </row>
    <row r="239" spans="1:9" x14ac:dyDescent="0.35">
      <c r="A239" s="2">
        <v>212</v>
      </c>
      <c r="B239" s="2">
        <v>0.2159368408080532</v>
      </c>
      <c r="C239" s="2">
        <f t="shared" si="13"/>
        <v>20</v>
      </c>
      <c r="D239" s="22">
        <v>500000</v>
      </c>
      <c r="E239" s="71">
        <v>170000</v>
      </c>
      <c r="F239" s="71">
        <v>600000</v>
      </c>
      <c r="G239" s="71">
        <v>0</v>
      </c>
      <c r="H239" s="71">
        <v>0</v>
      </c>
      <c r="I239" s="80">
        <v>70000</v>
      </c>
    </row>
    <row r="240" spans="1:9" x14ac:dyDescent="0.35">
      <c r="A240" s="2">
        <v>213</v>
      </c>
      <c r="B240" s="2">
        <v>9.1772419255912618E-2</v>
      </c>
      <c r="C240" s="2">
        <f t="shared" si="13"/>
        <v>20</v>
      </c>
      <c r="D240" s="22">
        <v>500000</v>
      </c>
      <c r="E240" s="71">
        <v>170000</v>
      </c>
      <c r="F240" s="71">
        <v>600000</v>
      </c>
      <c r="G240" s="71">
        <v>0</v>
      </c>
      <c r="H240" s="71">
        <v>0</v>
      </c>
      <c r="I240" s="80">
        <v>70000</v>
      </c>
    </row>
    <row r="241" spans="1:9" x14ac:dyDescent="0.35">
      <c r="A241" s="2">
        <v>214</v>
      </c>
      <c r="B241" s="2">
        <v>0.74253017162752744</v>
      </c>
      <c r="C241" s="2">
        <f t="shared" si="13"/>
        <v>35</v>
      </c>
      <c r="D241" s="22">
        <v>750000</v>
      </c>
      <c r="E241" s="71">
        <v>0</v>
      </c>
      <c r="F241" s="71">
        <v>600000</v>
      </c>
      <c r="G241" s="71">
        <v>125000</v>
      </c>
      <c r="H241" s="71">
        <v>110000</v>
      </c>
      <c r="I241" s="80">
        <v>165000</v>
      </c>
    </row>
    <row r="242" spans="1:9" x14ac:dyDescent="0.35">
      <c r="A242" s="2">
        <v>215</v>
      </c>
      <c r="B242" s="2">
        <v>0.45964960433344204</v>
      </c>
      <c r="C242" s="2">
        <f t="shared" si="13"/>
        <v>30</v>
      </c>
      <c r="D242" s="22">
        <v>750000</v>
      </c>
      <c r="E242" s="71">
        <v>0</v>
      </c>
      <c r="F242" s="71">
        <v>600000</v>
      </c>
      <c r="G242" s="71">
        <v>0</v>
      </c>
      <c r="H242" s="71">
        <v>0</v>
      </c>
      <c r="I242" s="80">
        <v>150000</v>
      </c>
    </row>
    <row r="243" spans="1:9" x14ac:dyDescent="0.35">
      <c r="A243" s="2">
        <v>216</v>
      </c>
      <c r="B243" s="2">
        <v>0.23051901635865624</v>
      </c>
      <c r="C243" s="2">
        <f t="shared" si="13"/>
        <v>20</v>
      </c>
      <c r="D243" s="22">
        <v>500000</v>
      </c>
      <c r="E243" s="71">
        <v>170000</v>
      </c>
      <c r="F243" s="71">
        <v>600000</v>
      </c>
      <c r="G243" s="71">
        <v>0</v>
      </c>
      <c r="H243" s="71">
        <v>0</v>
      </c>
      <c r="I243" s="80">
        <v>70000</v>
      </c>
    </row>
    <row r="244" spans="1:9" x14ac:dyDescent="0.35">
      <c r="A244" s="2">
        <v>217</v>
      </c>
      <c r="B244" s="2">
        <v>0.31522109845074264</v>
      </c>
      <c r="C244" s="2">
        <f t="shared" si="13"/>
        <v>25</v>
      </c>
      <c r="D244" s="22">
        <v>625000</v>
      </c>
      <c r="E244" s="71">
        <v>85000</v>
      </c>
      <c r="F244" s="71">
        <v>600000</v>
      </c>
      <c r="G244" s="71">
        <v>0</v>
      </c>
      <c r="H244" s="71">
        <v>0</v>
      </c>
      <c r="I244" s="80">
        <v>110000</v>
      </c>
    </row>
    <row r="245" spans="1:9" x14ac:dyDescent="0.35">
      <c r="A245" s="2">
        <v>218</v>
      </c>
      <c r="B245" s="2">
        <v>0.59132283279460363</v>
      </c>
      <c r="C245" s="2">
        <f t="shared" si="13"/>
        <v>30</v>
      </c>
      <c r="D245" s="22">
        <v>750000</v>
      </c>
      <c r="E245" s="71">
        <v>0</v>
      </c>
      <c r="F245" s="71">
        <v>600000</v>
      </c>
      <c r="G245" s="71">
        <v>0</v>
      </c>
      <c r="H245" s="71">
        <v>0</v>
      </c>
      <c r="I245" s="80">
        <v>150000</v>
      </c>
    </row>
    <row r="246" spans="1:9" x14ac:dyDescent="0.35">
      <c r="A246" s="2">
        <v>219</v>
      </c>
      <c r="B246" s="2">
        <v>0.25240622745954278</v>
      </c>
      <c r="C246" s="2">
        <f t="shared" si="13"/>
        <v>20</v>
      </c>
      <c r="D246" s="22">
        <v>500000</v>
      </c>
      <c r="E246" s="71">
        <v>170000</v>
      </c>
      <c r="F246" s="71">
        <v>600000</v>
      </c>
      <c r="G246" s="71">
        <v>0</v>
      </c>
      <c r="H246" s="71">
        <v>0</v>
      </c>
      <c r="I246" s="80">
        <v>70000</v>
      </c>
    </row>
    <row r="247" spans="1:9" x14ac:dyDescent="0.35">
      <c r="A247" s="2">
        <v>220</v>
      </c>
      <c r="B247" s="2">
        <v>0.23235878375780084</v>
      </c>
      <c r="C247" s="2">
        <f t="shared" si="13"/>
        <v>20</v>
      </c>
      <c r="D247" s="22">
        <v>500000</v>
      </c>
      <c r="E247" s="71">
        <v>170000</v>
      </c>
      <c r="F247" s="71">
        <v>600000</v>
      </c>
      <c r="G247" s="71">
        <v>0</v>
      </c>
      <c r="H247" s="71">
        <v>0</v>
      </c>
      <c r="I247" s="80">
        <v>70000</v>
      </c>
    </row>
    <row r="248" spans="1:9" x14ac:dyDescent="0.35">
      <c r="A248" s="2">
        <v>221</v>
      </c>
      <c r="B248" s="2">
        <v>9.3629847984811998E-2</v>
      </c>
      <c r="C248" s="2">
        <f t="shared" si="13"/>
        <v>20</v>
      </c>
      <c r="D248" s="22">
        <v>500000</v>
      </c>
      <c r="E248" s="71">
        <v>170000</v>
      </c>
      <c r="F248" s="71">
        <v>600000</v>
      </c>
      <c r="G248" s="71">
        <v>0</v>
      </c>
      <c r="H248" s="71">
        <v>0</v>
      </c>
      <c r="I248" s="80">
        <v>70000</v>
      </c>
    </row>
    <row r="249" spans="1:9" x14ac:dyDescent="0.35">
      <c r="A249" s="2">
        <v>222</v>
      </c>
      <c r="B249" s="2">
        <v>6.9883713482786325E-2</v>
      </c>
      <c r="C249" s="2">
        <f t="shared" si="13"/>
        <v>20</v>
      </c>
      <c r="D249" s="22">
        <v>500000</v>
      </c>
      <c r="E249" s="71">
        <v>170000</v>
      </c>
      <c r="F249" s="71">
        <v>600000</v>
      </c>
      <c r="G249" s="71">
        <v>0</v>
      </c>
      <c r="H249" s="71">
        <v>0</v>
      </c>
      <c r="I249" s="80">
        <v>70000</v>
      </c>
    </row>
    <row r="250" spans="1:9" x14ac:dyDescent="0.35">
      <c r="A250" s="2">
        <v>223</v>
      </c>
      <c r="B250" s="2">
        <v>0.73044363322130623</v>
      </c>
      <c r="C250" s="2">
        <f t="shared" si="13"/>
        <v>35</v>
      </c>
      <c r="D250" s="22">
        <v>750000</v>
      </c>
      <c r="E250" s="71">
        <v>0</v>
      </c>
      <c r="F250" s="71">
        <v>600000</v>
      </c>
      <c r="G250" s="71">
        <v>125000</v>
      </c>
      <c r="H250" s="71">
        <v>110000</v>
      </c>
      <c r="I250" s="80">
        <v>165000</v>
      </c>
    </row>
    <row r="251" spans="1:9" x14ac:dyDescent="0.35">
      <c r="A251" s="2">
        <v>224</v>
      </c>
      <c r="B251" s="2">
        <v>0.98246813498192254</v>
      </c>
      <c r="C251" s="2">
        <f t="shared" si="13"/>
        <v>40</v>
      </c>
      <c r="D251" s="22">
        <v>750000</v>
      </c>
      <c r="E251" s="71">
        <v>0</v>
      </c>
      <c r="F251" s="71">
        <v>600000</v>
      </c>
      <c r="G251" s="71">
        <v>250000</v>
      </c>
      <c r="H251" s="71">
        <v>220000</v>
      </c>
      <c r="I251" s="80">
        <v>180000</v>
      </c>
    </row>
    <row r="252" spans="1:9" x14ac:dyDescent="0.35">
      <c r="A252" s="2">
        <v>225</v>
      </c>
      <c r="B252" s="2">
        <v>0.15798534677817011</v>
      </c>
      <c r="C252" s="2">
        <f t="shared" si="13"/>
        <v>20</v>
      </c>
      <c r="D252" s="22">
        <v>500000</v>
      </c>
      <c r="E252" s="71">
        <v>170000</v>
      </c>
      <c r="F252" s="71">
        <v>600000</v>
      </c>
      <c r="G252" s="71">
        <v>0</v>
      </c>
      <c r="H252" s="71">
        <v>0</v>
      </c>
      <c r="I252" s="80">
        <v>70000</v>
      </c>
    </row>
    <row r="253" spans="1:9" x14ac:dyDescent="0.35">
      <c r="A253" s="2">
        <v>226</v>
      </c>
      <c r="B253" s="2">
        <v>0.39415973726203146</v>
      </c>
      <c r="C253" s="2">
        <f t="shared" si="13"/>
        <v>25</v>
      </c>
      <c r="D253" s="22">
        <v>625000</v>
      </c>
      <c r="E253" s="71">
        <v>85000</v>
      </c>
      <c r="F253" s="71">
        <v>600000</v>
      </c>
      <c r="G253" s="71">
        <v>0</v>
      </c>
      <c r="H253" s="71">
        <v>0</v>
      </c>
      <c r="I253" s="80">
        <v>110000</v>
      </c>
    </row>
    <row r="254" spans="1:9" x14ac:dyDescent="0.35">
      <c r="A254" s="2">
        <v>227</v>
      </c>
      <c r="B254" s="2">
        <v>0.62408859741837341</v>
      </c>
      <c r="C254" s="2">
        <f t="shared" si="13"/>
        <v>35</v>
      </c>
      <c r="D254" s="22">
        <v>750000</v>
      </c>
      <c r="E254" s="71">
        <v>0</v>
      </c>
      <c r="F254" s="71">
        <v>600000</v>
      </c>
      <c r="G254" s="71">
        <v>125000</v>
      </c>
      <c r="H254" s="71">
        <v>110000</v>
      </c>
      <c r="I254" s="80">
        <v>165000</v>
      </c>
    </row>
    <row r="255" spans="1:9" x14ac:dyDescent="0.35">
      <c r="A255" s="2">
        <v>228</v>
      </c>
      <c r="B255" s="2">
        <v>0.79005634826651006</v>
      </c>
      <c r="C255" s="2">
        <f t="shared" si="13"/>
        <v>35</v>
      </c>
      <c r="D255" s="22">
        <v>750000</v>
      </c>
      <c r="E255" s="71">
        <v>0</v>
      </c>
      <c r="F255" s="71">
        <v>600000</v>
      </c>
      <c r="G255" s="71">
        <v>125000</v>
      </c>
      <c r="H255" s="71">
        <v>110000</v>
      </c>
      <c r="I255" s="80">
        <v>165000</v>
      </c>
    </row>
    <row r="256" spans="1:9" x14ac:dyDescent="0.35">
      <c r="A256" s="2">
        <v>229</v>
      </c>
      <c r="B256" s="2">
        <v>0.18780510301295528</v>
      </c>
      <c r="C256" s="2">
        <f t="shared" si="13"/>
        <v>20</v>
      </c>
      <c r="D256" s="22">
        <v>500000</v>
      </c>
      <c r="E256" s="71">
        <v>170000</v>
      </c>
      <c r="F256" s="71">
        <v>600000</v>
      </c>
      <c r="G256" s="71">
        <v>0</v>
      </c>
      <c r="H256" s="71">
        <v>0</v>
      </c>
      <c r="I256" s="80">
        <v>70000</v>
      </c>
    </row>
    <row r="257" spans="1:9" x14ac:dyDescent="0.35">
      <c r="A257" s="2">
        <v>230</v>
      </c>
      <c r="B257" s="2">
        <v>0.39882484562581555</v>
      </c>
      <c r="C257" s="2">
        <f t="shared" si="13"/>
        <v>25</v>
      </c>
      <c r="D257" s="22">
        <v>625000</v>
      </c>
      <c r="E257" s="71">
        <v>85000</v>
      </c>
      <c r="F257" s="71">
        <v>600000</v>
      </c>
      <c r="G257" s="71">
        <v>0</v>
      </c>
      <c r="H257" s="71">
        <v>0</v>
      </c>
      <c r="I257" s="80">
        <v>110000</v>
      </c>
    </row>
    <row r="258" spans="1:9" x14ac:dyDescent="0.35">
      <c r="A258" s="2">
        <v>231</v>
      </c>
      <c r="B258" s="2">
        <v>0.29550592058093073</v>
      </c>
      <c r="C258" s="2">
        <f t="shared" si="13"/>
        <v>20</v>
      </c>
      <c r="D258" s="22">
        <v>500000</v>
      </c>
      <c r="E258" s="71">
        <v>170000</v>
      </c>
      <c r="F258" s="71">
        <v>600000</v>
      </c>
      <c r="G258" s="71">
        <v>0</v>
      </c>
      <c r="H258" s="71">
        <v>0</v>
      </c>
      <c r="I258" s="80">
        <v>70000</v>
      </c>
    </row>
    <row r="259" spans="1:9" x14ac:dyDescent="0.35">
      <c r="A259" s="2">
        <v>232</v>
      </c>
      <c r="B259" s="2">
        <v>0.21249250169658229</v>
      </c>
      <c r="C259" s="2">
        <f t="shared" si="13"/>
        <v>20</v>
      </c>
      <c r="D259" s="22">
        <v>500000</v>
      </c>
      <c r="E259" s="71">
        <v>170000</v>
      </c>
      <c r="F259" s="71">
        <v>600000</v>
      </c>
      <c r="G259" s="71">
        <v>0</v>
      </c>
      <c r="H259" s="71">
        <v>0</v>
      </c>
      <c r="I259" s="80">
        <v>70000</v>
      </c>
    </row>
    <row r="260" spans="1:9" x14ac:dyDescent="0.35">
      <c r="A260" s="2">
        <v>233</v>
      </c>
      <c r="B260" s="2">
        <v>0.73048040420651772</v>
      </c>
      <c r="C260" s="2">
        <f t="shared" si="13"/>
        <v>35</v>
      </c>
      <c r="D260" s="22">
        <v>750000</v>
      </c>
      <c r="E260" s="71">
        <v>0</v>
      </c>
      <c r="F260" s="71">
        <v>600000</v>
      </c>
      <c r="G260" s="71">
        <v>125000</v>
      </c>
      <c r="H260" s="71">
        <v>110000</v>
      </c>
      <c r="I260" s="80">
        <v>165000</v>
      </c>
    </row>
    <row r="261" spans="1:9" x14ac:dyDescent="0.35">
      <c r="A261" s="2">
        <v>234</v>
      </c>
      <c r="B261" s="2">
        <v>0.70967509670592377</v>
      </c>
      <c r="C261" s="2">
        <f t="shared" si="13"/>
        <v>35</v>
      </c>
      <c r="D261" s="22">
        <v>750000</v>
      </c>
      <c r="E261" s="71">
        <v>0</v>
      </c>
      <c r="F261" s="71">
        <v>600000</v>
      </c>
      <c r="G261" s="71">
        <v>125000</v>
      </c>
      <c r="H261" s="71">
        <v>110000</v>
      </c>
      <c r="I261" s="80">
        <v>165000</v>
      </c>
    </row>
    <row r="262" spans="1:9" x14ac:dyDescent="0.35">
      <c r="A262" s="2">
        <v>235</v>
      </c>
      <c r="B262" s="2">
        <v>0.90879156402930972</v>
      </c>
      <c r="C262" s="2">
        <f t="shared" si="13"/>
        <v>40</v>
      </c>
      <c r="D262" s="22">
        <v>750000</v>
      </c>
      <c r="E262" s="71">
        <v>0</v>
      </c>
      <c r="F262" s="71">
        <v>600000</v>
      </c>
      <c r="G262" s="71">
        <v>250000</v>
      </c>
      <c r="H262" s="71">
        <v>220000</v>
      </c>
      <c r="I262" s="80">
        <v>180000</v>
      </c>
    </row>
    <row r="263" spans="1:9" x14ac:dyDescent="0.35">
      <c r="A263" s="2">
        <v>236</v>
      </c>
      <c r="B263" s="2">
        <v>0.66660549102606026</v>
      </c>
      <c r="C263" s="2">
        <f t="shared" si="13"/>
        <v>35</v>
      </c>
      <c r="D263" s="22">
        <v>750000</v>
      </c>
      <c r="E263" s="71">
        <v>0</v>
      </c>
      <c r="F263" s="71">
        <v>600000</v>
      </c>
      <c r="G263" s="71">
        <v>125000</v>
      </c>
      <c r="H263" s="71">
        <v>110000</v>
      </c>
      <c r="I263" s="80">
        <v>165000</v>
      </c>
    </row>
    <row r="264" spans="1:9" x14ac:dyDescent="0.35">
      <c r="A264" s="2">
        <v>237</v>
      </c>
      <c r="B264" s="2">
        <v>0.19153141254401185</v>
      </c>
      <c r="C264" s="2">
        <f t="shared" si="13"/>
        <v>20</v>
      </c>
      <c r="D264" s="22">
        <v>500000</v>
      </c>
      <c r="E264" s="71">
        <v>170000</v>
      </c>
      <c r="F264" s="71">
        <v>600000</v>
      </c>
      <c r="G264" s="71">
        <v>0</v>
      </c>
      <c r="H264" s="71">
        <v>0</v>
      </c>
      <c r="I264" s="80">
        <v>70000</v>
      </c>
    </row>
    <row r="265" spans="1:9" x14ac:dyDescent="0.35">
      <c r="A265" s="2">
        <v>238</v>
      </c>
      <c r="B265" s="2">
        <v>0.49865701493220493</v>
      </c>
      <c r="C265" s="2">
        <f t="shared" si="13"/>
        <v>30</v>
      </c>
      <c r="D265" s="22">
        <v>750000</v>
      </c>
      <c r="E265" s="71">
        <v>0</v>
      </c>
      <c r="F265" s="71">
        <v>600000</v>
      </c>
      <c r="G265" s="71">
        <v>0</v>
      </c>
      <c r="H265" s="71">
        <v>0</v>
      </c>
      <c r="I265" s="80">
        <v>150000</v>
      </c>
    </row>
    <row r="266" spans="1:9" x14ac:dyDescent="0.35">
      <c r="A266" s="2">
        <v>239</v>
      </c>
      <c r="B266" s="2">
        <v>0.171017998501936</v>
      </c>
      <c r="C266" s="2">
        <f t="shared" si="13"/>
        <v>20</v>
      </c>
      <c r="D266" s="22">
        <v>500000</v>
      </c>
      <c r="E266" s="71">
        <v>170000</v>
      </c>
      <c r="F266" s="71">
        <v>600000</v>
      </c>
      <c r="G266" s="71">
        <v>0</v>
      </c>
      <c r="H266" s="71">
        <v>0</v>
      </c>
      <c r="I266" s="80">
        <v>70000</v>
      </c>
    </row>
    <row r="267" spans="1:9" x14ac:dyDescent="0.35">
      <c r="A267" s="2">
        <v>240</v>
      </c>
      <c r="B267" s="2">
        <v>0.92627087797873886</v>
      </c>
      <c r="C267" s="2">
        <f t="shared" si="13"/>
        <v>40</v>
      </c>
      <c r="D267" s="22">
        <v>750000</v>
      </c>
      <c r="E267" s="71">
        <v>0</v>
      </c>
      <c r="F267" s="71">
        <v>600000</v>
      </c>
      <c r="G267" s="71">
        <v>250000</v>
      </c>
      <c r="H267" s="71">
        <v>220000</v>
      </c>
      <c r="I267" s="80">
        <v>180000</v>
      </c>
    </row>
    <row r="268" spans="1:9" x14ac:dyDescent="0.35">
      <c r="A268" s="2">
        <v>241</v>
      </c>
      <c r="B268" s="2">
        <v>0.11155225588989548</v>
      </c>
      <c r="C268" s="2">
        <f t="shared" si="13"/>
        <v>20</v>
      </c>
      <c r="D268" s="22">
        <v>500000</v>
      </c>
      <c r="E268" s="71">
        <v>170000</v>
      </c>
      <c r="F268" s="71">
        <v>600000</v>
      </c>
      <c r="G268" s="71">
        <v>0</v>
      </c>
      <c r="H268" s="71">
        <v>0</v>
      </c>
      <c r="I268" s="80">
        <v>70000</v>
      </c>
    </row>
    <row r="269" spans="1:9" x14ac:dyDescent="0.35">
      <c r="A269" s="2">
        <v>242</v>
      </c>
      <c r="B269" s="2">
        <v>0.64921414612753581</v>
      </c>
      <c r="C269" s="2">
        <f t="shared" si="13"/>
        <v>35</v>
      </c>
      <c r="D269" s="22">
        <v>750000</v>
      </c>
      <c r="E269" s="71">
        <v>0</v>
      </c>
      <c r="F269" s="71">
        <v>600000</v>
      </c>
      <c r="G269" s="71">
        <v>125000</v>
      </c>
      <c r="H269" s="71">
        <v>110000</v>
      </c>
      <c r="I269" s="80">
        <v>165000</v>
      </c>
    </row>
    <row r="270" spans="1:9" x14ac:dyDescent="0.35">
      <c r="A270" s="2">
        <v>243</v>
      </c>
      <c r="B270" s="2">
        <v>0.36440653696921677</v>
      </c>
      <c r="C270" s="2">
        <f t="shared" si="13"/>
        <v>25</v>
      </c>
      <c r="D270" s="22">
        <v>625000</v>
      </c>
      <c r="E270" s="71">
        <v>85000</v>
      </c>
      <c r="F270" s="71">
        <v>600000</v>
      </c>
      <c r="G270" s="71">
        <v>0</v>
      </c>
      <c r="H270" s="71">
        <v>0</v>
      </c>
      <c r="I270" s="80">
        <v>110000</v>
      </c>
    </row>
    <row r="271" spans="1:9" x14ac:dyDescent="0.35">
      <c r="A271" s="2">
        <v>244</v>
      </c>
      <c r="B271" s="2">
        <v>0.63859326922494275</v>
      </c>
      <c r="C271" s="2">
        <f t="shared" si="13"/>
        <v>35</v>
      </c>
      <c r="D271" s="22">
        <v>750000</v>
      </c>
      <c r="E271" s="71">
        <v>0</v>
      </c>
      <c r="F271" s="71">
        <v>600000</v>
      </c>
      <c r="G271" s="71">
        <v>125000</v>
      </c>
      <c r="H271" s="71">
        <v>110000</v>
      </c>
      <c r="I271" s="80">
        <v>165000</v>
      </c>
    </row>
    <row r="272" spans="1:9" x14ac:dyDescent="0.35">
      <c r="A272" s="2">
        <v>245</v>
      </c>
      <c r="B272" s="2">
        <v>0.90828765218684604</v>
      </c>
      <c r="C272" s="2">
        <f t="shared" si="13"/>
        <v>40</v>
      </c>
      <c r="D272" s="22">
        <v>750000</v>
      </c>
      <c r="E272" s="71">
        <v>0</v>
      </c>
      <c r="F272" s="71">
        <v>600000</v>
      </c>
      <c r="G272" s="71">
        <v>250000</v>
      </c>
      <c r="H272" s="71">
        <v>220000</v>
      </c>
      <c r="I272" s="80">
        <v>180000</v>
      </c>
    </row>
    <row r="273" spans="1:9" x14ac:dyDescent="0.35">
      <c r="A273" s="2">
        <v>246</v>
      </c>
      <c r="B273" s="2">
        <v>0.87481673061120657</v>
      </c>
      <c r="C273" s="2">
        <f t="shared" si="13"/>
        <v>40</v>
      </c>
      <c r="D273" s="22">
        <v>750000</v>
      </c>
      <c r="E273" s="71">
        <v>0</v>
      </c>
      <c r="F273" s="71">
        <v>600000</v>
      </c>
      <c r="G273" s="71">
        <v>250000</v>
      </c>
      <c r="H273" s="71">
        <v>220000</v>
      </c>
      <c r="I273" s="80">
        <v>180000</v>
      </c>
    </row>
    <row r="274" spans="1:9" x14ac:dyDescent="0.35">
      <c r="A274" s="2">
        <v>247</v>
      </c>
      <c r="B274" s="2">
        <v>7.7634815143445723E-2</v>
      </c>
      <c r="C274" s="2">
        <f t="shared" si="13"/>
        <v>20</v>
      </c>
      <c r="D274" s="22">
        <v>500000</v>
      </c>
      <c r="E274" s="71">
        <v>170000</v>
      </c>
      <c r="F274" s="71">
        <v>600000</v>
      </c>
      <c r="G274" s="71">
        <v>0</v>
      </c>
      <c r="H274" s="71">
        <v>0</v>
      </c>
      <c r="I274" s="80">
        <v>70000</v>
      </c>
    </row>
    <row r="275" spans="1:9" x14ac:dyDescent="0.35">
      <c r="A275" s="2">
        <v>248</v>
      </c>
      <c r="B275" s="2">
        <v>0.9268956153058896</v>
      </c>
      <c r="C275" s="2">
        <f t="shared" si="13"/>
        <v>40</v>
      </c>
      <c r="D275" s="22">
        <v>750000</v>
      </c>
      <c r="E275" s="71">
        <v>0</v>
      </c>
      <c r="F275" s="71">
        <v>600000</v>
      </c>
      <c r="G275" s="71">
        <v>250000</v>
      </c>
      <c r="H275" s="71">
        <v>220000</v>
      </c>
      <c r="I275" s="80">
        <v>180000</v>
      </c>
    </row>
    <row r="276" spans="1:9" x14ac:dyDescent="0.35">
      <c r="A276" s="2">
        <v>249</v>
      </c>
      <c r="B276" s="2">
        <v>0.74246926717621164</v>
      </c>
      <c r="C276" s="2">
        <f t="shared" si="13"/>
        <v>35</v>
      </c>
      <c r="D276" s="22">
        <v>750000</v>
      </c>
      <c r="E276" s="71">
        <v>0</v>
      </c>
      <c r="F276" s="71">
        <v>600000</v>
      </c>
      <c r="G276" s="71">
        <v>125000</v>
      </c>
      <c r="H276" s="71">
        <v>110000</v>
      </c>
      <c r="I276" s="80">
        <v>165000</v>
      </c>
    </row>
    <row r="277" spans="1:9" x14ac:dyDescent="0.35">
      <c r="A277" s="2">
        <v>250</v>
      </c>
      <c r="B277" s="2">
        <v>0.47381184043857216</v>
      </c>
      <c r="C277" s="2">
        <f t="shared" si="13"/>
        <v>30</v>
      </c>
      <c r="D277" s="22">
        <v>750000</v>
      </c>
      <c r="E277" s="71">
        <v>0</v>
      </c>
      <c r="F277" s="71">
        <v>600000</v>
      </c>
      <c r="G277" s="71">
        <v>0</v>
      </c>
      <c r="H277" s="71">
        <v>0</v>
      </c>
      <c r="I277" s="80">
        <v>150000</v>
      </c>
    </row>
    <row r="278" spans="1:9" x14ac:dyDescent="0.35">
      <c r="A278" s="2">
        <v>251</v>
      </c>
      <c r="B278" s="2">
        <v>0.544781709624371</v>
      </c>
      <c r="C278" s="2">
        <f t="shared" si="13"/>
        <v>30</v>
      </c>
      <c r="D278" s="22">
        <v>750000</v>
      </c>
      <c r="E278" s="71">
        <v>0</v>
      </c>
      <c r="F278" s="71">
        <v>600000</v>
      </c>
      <c r="G278" s="71">
        <v>0</v>
      </c>
      <c r="H278" s="71">
        <v>0</v>
      </c>
      <c r="I278" s="80">
        <v>150000</v>
      </c>
    </row>
    <row r="279" spans="1:9" x14ac:dyDescent="0.35">
      <c r="A279" s="2">
        <v>252</v>
      </c>
      <c r="B279" s="2">
        <v>5.9813595974050782E-2</v>
      </c>
      <c r="C279" s="2">
        <f t="shared" si="13"/>
        <v>20</v>
      </c>
      <c r="D279" s="22">
        <v>500000</v>
      </c>
      <c r="E279" s="71">
        <v>170000</v>
      </c>
      <c r="F279" s="71">
        <v>600000</v>
      </c>
      <c r="G279" s="71">
        <v>0</v>
      </c>
      <c r="H279" s="71">
        <v>0</v>
      </c>
      <c r="I279" s="80">
        <v>70000</v>
      </c>
    </row>
    <row r="280" spans="1:9" x14ac:dyDescent="0.35">
      <c r="A280" s="2">
        <v>253</v>
      </c>
      <c r="B280" s="2">
        <v>0.88451505004601894</v>
      </c>
      <c r="C280" s="2">
        <f t="shared" si="13"/>
        <v>40</v>
      </c>
      <c r="D280" s="22">
        <v>750000</v>
      </c>
      <c r="E280" s="71">
        <v>0</v>
      </c>
      <c r="F280" s="71">
        <v>600000</v>
      </c>
      <c r="G280" s="71">
        <v>250000</v>
      </c>
      <c r="H280" s="71">
        <v>220000</v>
      </c>
      <c r="I280" s="80">
        <v>180000</v>
      </c>
    </row>
    <row r="281" spans="1:9" x14ac:dyDescent="0.35">
      <c r="A281" s="2">
        <v>254</v>
      </c>
      <c r="B281" s="2">
        <v>0.52198692236038624</v>
      </c>
      <c r="C281" s="2">
        <f t="shared" si="13"/>
        <v>30</v>
      </c>
      <c r="D281" s="22">
        <v>750000</v>
      </c>
      <c r="E281" s="71">
        <v>0</v>
      </c>
      <c r="F281" s="71">
        <v>600000</v>
      </c>
      <c r="G281" s="71">
        <v>0</v>
      </c>
      <c r="H281" s="71">
        <v>0</v>
      </c>
      <c r="I281" s="80">
        <v>150000</v>
      </c>
    </row>
    <row r="282" spans="1:9" x14ac:dyDescent="0.35">
      <c r="A282" s="2">
        <v>255</v>
      </c>
      <c r="B282" s="2">
        <v>0.7443553060638054</v>
      </c>
      <c r="C282" s="2">
        <f t="shared" si="13"/>
        <v>35</v>
      </c>
      <c r="D282" s="22">
        <v>750000</v>
      </c>
      <c r="E282" s="71">
        <v>0</v>
      </c>
      <c r="F282" s="71">
        <v>600000</v>
      </c>
      <c r="G282" s="71">
        <v>125000</v>
      </c>
      <c r="H282" s="71">
        <v>110000</v>
      </c>
      <c r="I282" s="80">
        <v>165000</v>
      </c>
    </row>
    <row r="283" spans="1:9" x14ac:dyDescent="0.35">
      <c r="A283" s="2">
        <v>256</v>
      </c>
      <c r="B283" s="2">
        <v>0.26744159879709994</v>
      </c>
      <c r="C283" s="2">
        <f t="shared" si="13"/>
        <v>20</v>
      </c>
      <c r="D283" s="22">
        <v>500000</v>
      </c>
      <c r="E283" s="71">
        <v>170000</v>
      </c>
      <c r="F283" s="71">
        <v>600000</v>
      </c>
      <c r="G283" s="71">
        <v>0</v>
      </c>
      <c r="H283" s="71">
        <v>0</v>
      </c>
      <c r="I283" s="80">
        <v>70000</v>
      </c>
    </row>
    <row r="284" spans="1:9" x14ac:dyDescent="0.35">
      <c r="A284" s="2">
        <v>257</v>
      </c>
      <c r="B284" s="2">
        <v>0.84054780611475843</v>
      </c>
      <c r="C284" s="2">
        <f t="shared" si="13"/>
        <v>40</v>
      </c>
      <c r="D284" s="22">
        <v>750000</v>
      </c>
      <c r="E284" s="71">
        <v>0</v>
      </c>
      <c r="F284" s="71">
        <v>600000</v>
      </c>
      <c r="G284" s="71">
        <v>250000</v>
      </c>
      <c r="H284" s="71">
        <v>220000</v>
      </c>
      <c r="I284" s="80">
        <v>180000</v>
      </c>
    </row>
    <row r="285" spans="1:9" x14ac:dyDescent="0.35">
      <c r="A285" s="2">
        <v>258</v>
      </c>
      <c r="B285" s="2">
        <v>5.8888574458214604E-3</v>
      </c>
      <c r="C285" s="2">
        <f t="shared" ref="C285:C348" si="14">VLOOKUP(B285,$D$5:$F$10,2,TRUE)</f>
        <v>20</v>
      </c>
      <c r="D285" s="22">
        <v>500000</v>
      </c>
      <c r="E285" s="71">
        <v>170000</v>
      </c>
      <c r="F285" s="71">
        <v>600000</v>
      </c>
      <c r="G285" s="71">
        <v>0</v>
      </c>
      <c r="H285" s="71">
        <v>0</v>
      </c>
      <c r="I285" s="80">
        <v>70000</v>
      </c>
    </row>
    <row r="286" spans="1:9" x14ac:dyDescent="0.35">
      <c r="A286" s="2">
        <v>259</v>
      </c>
      <c r="B286" s="2">
        <v>0.76815508527248799</v>
      </c>
      <c r="C286" s="2">
        <f t="shared" si="14"/>
        <v>35</v>
      </c>
      <c r="D286" s="22">
        <v>750000</v>
      </c>
      <c r="E286" s="71">
        <v>0</v>
      </c>
      <c r="F286" s="71">
        <v>600000</v>
      </c>
      <c r="G286" s="71">
        <v>125000</v>
      </c>
      <c r="H286" s="71">
        <v>110000</v>
      </c>
      <c r="I286" s="80">
        <v>165000</v>
      </c>
    </row>
    <row r="287" spans="1:9" x14ac:dyDescent="0.35">
      <c r="A287" s="2">
        <v>260</v>
      </c>
      <c r="B287" s="2">
        <v>0.27290689727724349</v>
      </c>
      <c r="C287" s="2">
        <f t="shared" si="14"/>
        <v>20</v>
      </c>
      <c r="D287" s="22">
        <v>500000</v>
      </c>
      <c r="E287" s="71">
        <v>170000</v>
      </c>
      <c r="F287" s="71">
        <v>600000</v>
      </c>
      <c r="G287" s="71">
        <v>0</v>
      </c>
      <c r="H287" s="71">
        <v>0</v>
      </c>
      <c r="I287" s="80">
        <v>70000</v>
      </c>
    </row>
    <row r="288" spans="1:9" x14ac:dyDescent="0.35">
      <c r="A288" s="2">
        <v>261</v>
      </c>
      <c r="B288" s="2">
        <v>0.38423282842589956</v>
      </c>
      <c r="C288" s="2">
        <f t="shared" si="14"/>
        <v>25</v>
      </c>
      <c r="D288" s="22">
        <v>625000</v>
      </c>
      <c r="E288" s="71">
        <v>85000</v>
      </c>
      <c r="F288" s="71">
        <v>600000</v>
      </c>
      <c r="G288" s="71">
        <v>0</v>
      </c>
      <c r="H288" s="71">
        <v>0</v>
      </c>
      <c r="I288" s="80">
        <v>110000</v>
      </c>
    </row>
    <row r="289" spans="1:9" x14ac:dyDescent="0.35">
      <c r="A289" s="2">
        <v>262</v>
      </c>
      <c r="B289" s="2">
        <v>0.36776216712581367</v>
      </c>
      <c r="C289" s="2">
        <f t="shared" si="14"/>
        <v>25</v>
      </c>
      <c r="D289" s="22">
        <v>625000</v>
      </c>
      <c r="E289" s="71">
        <v>85000</v>
      </c>
      <c r="F289" s="71">
        <v>600000</v>
      </c>
      <c r="G289" s="71">
        <v>0</v>
      </c>
      <c r="H289" s="71">
        <v>0</v>
      </c>
      <c r="I289" s="80">
        <v>110000</v>
      </c>
    </row>
    <row r="290" spans="1:9" x14ac:dyDescent="0.35">
      <c r="A290" s="2">
        <v>263</v>
      </c>
      <c r="B290" s="2">
        <v>0.6662907838097436</v>
      </c>
      <c r="C290" s="2">
        <f t="shared" si="14"/>
        <v>35</v>
      </c>
      <c r="D290" s="22">
        <v>750000</v>
      </c>
      <c r="E290" s="71">
        <v>0</v>
      </c>
      <c r="F290" s="71">
        <v>600000</v>
      </c>
      <c r="G290" s="71">
        <v>125000</v>
      </c>
      <c r="H290" s="71">
        <v>110000</v>
      </c>
      <c r="I290" s="80">
        <v>165000</v>
      </c>
    </row>
    <row r="291" spans="1:9" x14ac:dyDescent="0.35">
      <c r="A291" s="2">
        <v>264</v>
      </c>
      <c r="B291" s="2">
        <v>0.57573260677155025</v>
      </c>
      <c r="C291" s="2">
        <f t="shared" si="14"/>
        <v>30</v>
      </c>
      <c r="D291" s="22">
        <v>750000</v>
      </c>
      <c r="E291" s="71">
        <v>0</v>
      </c>
      <c r="F291" s="71">
        <v>600000</v>
      </c>
      <c r="G291" s="71">
        <v>0</v>
      </c>
      <c r="H291" s="71">
        <v>0</v>
      </c>
      <c r="I291" s="80">
        <v>150000</v>
      </c>
    </row>
    <row r="292" spans="1:9" x14ac:dyDescent="0.35">
      <c r="A292" s="2">
        <v>265</v>
      </c>
      <c r="B292" s="2">
        <v>0.28180252399872996</v>
      </c>
      <c r="C292" s="2">
        <f t="shared" si="14"/>
        <v>20</v>
      </c>
      <c r="D292" s="22">
        <v>500000</v>
      </c>
      <c r="E292" s="71">
        <v>170000</v>
      </c>
      <c r="F292" s="71">
        <v>600000</v>
      </c>
      <c r="G292" s="71">
        <v>0</v>
      </c>
      <c r="H292" s="71">
        <v>0</v>
      </c>
      <c r="I292" s="80">
        <v>70000</v>
      </c>
    </row>
    <row r="293" spans="1:9" x14ac:dyDescent="0.35">
      <c r="A293" s="2">
        <v>266</v>
      </c>
      <c r="B293" s="2">
        <v>0.18312663178910382</v>
      </c>
      <c r="C293" s="2">
        <f t="shared" si="14"/>
        <v>20</v>
      </c>
      <c r="D293" s="22">
        <v>500000</v>
      </c>
      <c r="E293" s="71">
        <v>170000</v>
      </c>
      <c r="F293" s="71">
        <v>600000</v>
      </c>
      <c r="G293" s="71">
        <v>0</v>
      </c>
      <c r="H293" s="71">
        <v>0</v>
      </c>
      <c r="I293" s="80">
        <v>70000</v>
      </c>
    </row>
    <row r="294" spans="1:9" x14ac:dyDescent="0.35">
      <c r="A294" s="2">
        <v>267</v>
      </c>
      <c r="B294" s="2">
        <v>2.069307732619885E-2</v>
      </c>
      <c r="C294" s="2">
        <f t="shared" si="14"/>
        <v>20</v>
      </c>
      <c r="D294" s="22">
        <v>500000</v>
      </c>
      <c r="E294" s="71">
        <v>170000</v>
      </c>
      <c r="F294" s="71">
        <v>600000</v>
      </c>
      <c r="G294" s="71">
        <v>0</v>
      </c>
      <c r="H294" s="71">
        <v>0</v>
      </c>
      <c r="I294" s="80">
        <v>70000</v>
      </c>
    </row>
    <row r="295" spans="1:9" x14ac:dyDescent="0.35">
      <c r="A295" s="2">
        <v>268</v>
      </c>
      <c r="B295" s="2">
        <v>7.213988825564821E-2</v>
      </c>
      <c r="C295" s="2">
        <f t="shared" si="14"/>
        <v>20</v>
      </c>
      <c r="D295" s="22">
        <v>500000</v>
      </c>
      <c r="E295" s="71">
        <v>170000</v>
      </c>
      <c r="F295" s="71">
        <v>600000</v>
      </c>
      <c r="G295" s="71">
        <v>0</v>
      </c>
      <c r="H295" s="71">
        <v>0</v>
      </c>
      <c r="I295" s="80">
        <v>70000</v>
      </c>
    </row>
    <row r="296" spans="1:9" x14ac:dyDescent="0.35">
      <c r="A296" s="2">
        <v>269</v>
      </c>
      <c r="B296" s="2">
        <v>0.8743061157059161</v>
      </c>
      <c r="C296" s="2">
        <f t="shared" si="14"/>
        <v>40</v>
      </c>
      <c r="D296" s="22">
        <v>750000</v>
      </c>
      <c r="E296" s="71">
        <v>0</v>
      </c>
      <c r="F296" s="71">
        <v>600000</v>
      </c>
      <c r="G296" s="71">
        <v>250000</v>
      </c>
      <c r="H296" s="71">
        <v>220000</v>
      </c>
      <c r="I296" s="80">
        <v>180000</v>
      </c>
    </row>
    <row r="297" spans="1:9" x14ac:dyDescent="0.35">
      <c r="A297" s="2">
        <v>270</v>
      </c>
      <c r="B297" s="2">
        <v>0.60832797631417901</v>
      </c>
      <c r="C297" s="2">
        <f t="shared" si="14"/>
        <v>35</v>
      </c>
      <c r="D297" s="22">
        <v>750000</v>
      </c>
      <c r="E297" s="71">
        <v>0</v>
      </c>
      <c r="F297" s="71">
        <v>600000</v>
      </c>
      <c r="G297" s="71">
        <v>125000</v>
      </c>
      <c r="H297" s="71">
        <v>110000</v>
      </c>
      <c r="I297" s="80">
        <v>165000</v>
      </c>
    </row>
    <row r="298" spans="1:9" x14ac:dyDescent="0.35">
      <c r="A298" s="2">
        <v>271</v>
      </c>
      <c r="B298" s="2">
        <v>0.74861763239292978</v>
      </c>
      <c r="C298" s="2">
        <f t="shared" si="14"/>
        <v>35</v>
      </c>
      <c r="D298" s="22">
        <v>750000</v>
      </c>
      <c r="E298" s="71">
        <v>0</v>
      </c>
      <c r="F298" s="71">
        <v>600000</v>
      </c>
      <c r="G298" s="71">
        <v>125000</v>
      </c>
      <c r="H298" s="71">
        <v>110000</v>
      </c>
      <c r="I298" s="80">
        <v>165000</v>
      </c>
    </row>
    <row r="299" spans="1:9" x14ac:dyDescent="0.35">
      <c r="A299" s="2">
        <v>272</v>
      </c>
      <c r="B299" s="2">
        <v>5.1041665772974976E-2</v>
      </c>
      <c r="C299" s="2">
        <f t="shared" si="14"/>
        <v>20</v>
      </c>
      <c r="D299" s="22">
        <v>500000</v>
      </c>
      <c r="E299" s="71">
        <v>170000</v>
      </c>
      <c r="F299" s="71">
        <v>600000</v>
      </c>
      <c r="G299" s="71">
        <v>0</v>
      </c>
      <c r="H299" s="71">
        <v>0</v>
      </c>
      <c r="I299" s="80">
        <v>70000</v>
      </c>
    </row>
    <row r="300" spans="1:9" x14ac:dyDescent="0.35">
      <c r="A300" s="2">
        <v>273</v>
      </c>
      <c r="B300" s="2">
        <v>0.95362417543604794</v>
      </c>
      <c r="C300" s="2">
        <f t="shared" si="14"/>
        <v>40</v>
      </c>
      <c r="D300" s="22">
        <v>750000</v>
      </c>
      <c r="E300" s="71">
        <v>0</v>
      </c>
      <c r="F300" s="71">
        <v>600000</v>
      </c>
      <c r="G300" s="71">
        <v>250000</v>
      </c>
      <c r="H300" s="71">
        <v>220000</v>
      </c>
      <c r="I300" s="80">
        <v>180000</v>
      </c>
    </row>
    <row r="301" spans="1:9" x14ac:dyDescent="0.35">
      <c r="A301" s="2">
        <v>274</v>
      </c>
      <c r="B301" s="2">
        <v>0.8549188471138337</v>
      </c>
      <c r="C301" s="2">
        <f t="shared" si="14"/>
        <v>40</v>
      </c>
      <c r="D301" s="22">
        <v>750000</v>
      </c>
      <c r="E301" s="71">
        <v>0</v>
      </c>
      <c r="F301" s="71">
        <v>600000</v>
      </c>
      <c r="G301" s="71">
        <v>250000</v>
      </c>
      <c r="H301" s="71">
        <v>220000</v>
      </c>
      <c r="I301" s="80">
        <v>180000</v>
      </c>
    </row>
    <row r="302" spans="1:9" x14ac:dyDescent="0.35">
      <c r="A302" s="2">
        <v>275</v>
      </c>
      <c r="B302" s="2">
        <v>0.77659054351139734</v>
      </c>
      <c r="C302" s="2">
        <f t="shared" si="14"/>
        <v>35</v>
      </c>
      <c r="D302" s="22">
        <v>750000</v>
      </c>
      <c r="E302" s="71">
        <v>0</v>
      </c>
      <c r="F302" s="71">
        <v>600000</v>
      </c>
      <c r="G302" s="71">
        <v>125000</v>
      </c>
      <c r="H302" s="71">
        <v>110000</v>
      </c>
      <c r="I302" s="80">
        <v>165000</v>
      </c>
    </row>
    <row r="303" spans="1:9" x14ac:dyDescent="0.35">
      <c r="A303" s="2">
        <v>276</v>
      </c>
      <c r="B303" s="2">
        <v>0.45339740006069729</v>
      </c>
      <c r="C303" s="2">
        <f t="shared" si="14"/>
        <v>30</v>
      </c>
      <c r="D303" s="22">
        <v>750000</v>
      </c>
      <c r="E303" s="71">
        <v>0</v>
      </c>
      <c r="F303" s="71">
        <v>600000</v>
      </c>
      <c r="G303" s="71">
        <v>0</v>
      </c>
      <c r="H303" s="71">
        <v>0</v>
      </c>
      <c r="I303" s="80">
        <v>150000</v>
      </c>
    </row>
    <row r="304" spans="1:9" x14ac:dyDescent="0.35">
      <c r="A304" s="2">
        <v>277</v>
      </c>
      <c r="B304" s="2">
        <v>0.20834319593380424</v>
      </c>
      <c r="C304" s="2">
        <f t="shared" si="14"/>
        <v>20</v>
      </c>
      <c r="D304" s="22">
        <v>500000</v>
      </c>
      <c r="E304" s="71">
        <v>170000</v>
      </c>
      <c r="F304" s="71">
        <v>600000</v>
      </c>
      <c r="G304" s="71">
        <v>0</v>
      </c>
      <c r="H304" s="71">
        <v>0</v>
      </c>
      <c r="I304" s="80">
        <v>70000</v>
      </c>
    </row>
    <row r="305" spans="1:9" x14ac:dyDescent="0.35">
      <c r="A305" s="2">
        <v>278</v>
      </c>
      <c r="B305" s="2">
        <v>0.39440842654417918</v>
      </c>
      <c r="C305" s="2">
        <f t="shared" si="14"/>
        <v>25</v>
      </c>
      <c r="D305" s="22">
        <v>625000</v>
      </c>
      <c r="E305" s="71">
        <v>85000</v>
      </c>
      <c r="F305" s="71">
        <v>600000</v>
      </c>
      <c r="G305" s="71">
        <v>0</v>
      </c>
      <c r="H305" s="71">
        <v>0</v>
      </c>
      <c r="I305" s="80">
        <v>110000</v>
      </c>
    </row>
    <row r="306" spans="1:9" x14ac:dyDescent="0.35">
      <c r="A306" s="2">
        <v>279</v>
      </c>
      <c r="B306" s="2">
        <v>0.68843128325653558</v>
      </c>
      <c r="C306" s="2">
        <f t="shared" si="14"/>
        <v>35</v>
      </c>
      <c r="D306" s="22">
        <v>750000</v>
      </c>
      <c r="E306" s="71">
        <v>0</v>
      </c>
      <c r="F306" s="71">
        <v>600000</v>
      </c>
      <c r="G306" s="71">
        <v>125000</v>
      </c>
      <c r="H306" s="71">
        <v>110000</v>
      </c>
      <c r="I306" s="80">
        <v>165000</v>
      </c>
    </row>
    <row r="307" spans="1:9" x14ac:dyDescent="0.35">
      <c r="A307" s="2">
        <v>280</v>
      </c>
      <c r="B307" s="2">
        <v>0.86718098168210334</v>
      </c>
      <c r="C307" s="2">
        <f t="shared" si="14"/>
        <v>40</v>
      </c>
      <c r="D307" s="22">
        <v>750000</v>
      </c>
      <c r="E307" s="71">
        <v>0</v>
      </c>
      <c r="F307" s="71">
        <v>600000</v>
      </c>
      <c r="G307" s="71">
        <v>250000</v>
      </c>
      <c r="H307" s="71">
        <v>220000</v>
      </c>
      <c r="I307" s="80">
        <v>180000</v>
      </c>
    </row>
    <row r="308" spans="1:9" x14ac:dyDescent="0.35">
      <c r="A308" s="2">
        <v>281</v>
      </c>
      <c r="B308" s="2">
        <v>0.32349659237536299</v>
      </c>
      <c r="C308" s="2">
        <f t="shared" si="14"/>
        <v>25</v>
      </c>
      <c r="D308" s="22">
        <v>625000</v>
      </c>
      <c r="E308" s="71">
        <v>85000</v>
      </c>
      <c r="F308" s="71">
        <v>600000</v>
      </c>
      <c r="G308" s="71">
        <v>0</v>
      </c>
      <c r="H308" s="71">
        <v>0</v>
      </c>
      <c r="I308" s="80">
        <v>110000</v>
      </c>
    </row>
    <row r="309" spans="1:9" x14ac:dyDescent="0.35">
      <c r="A309" s="2">
        <v>282</v>
      </c>
      <c r="B309" s="2">
        <v>0.95899830735522973</v>
      </c>
      <c r="C309" s="2">
        <f t="shared" si="14"/>
        <v>40</v>
      </c>
      <c r="D309" s="22">
        <v>750000</v>
      </c>
      <c r="E309" s="71">
        <v>0</v>
      </c>
      <c r="F309" s="71">
        <v>600000</v>
      </c>
      <c r="G309" s="71">
        <v>250000</v>
      </c>
      <c r="H309" s="71">
        <v>220000</v>
      </c>
      <c r="I309" s="80">
        <v>180000</v>
      </c>
    </row>
    <row r="310" spans="1:9" x14ac:dyDescent="0.35">
      <c r="A310" s="2">
        <v>283</v>
      </c>
      <c r="B310" s="2">
        <v>0.25979710239466502</v>
      </c>
      <c r="C310" s="2">
        <f t="shared" si="14"/>
        <v>20</v>
      </c>
      <c r="D310" s="22">
        <v>500000</v>
      </c>
      <c r="E310" s="71">
        <v>170000</v>
      </c>
      <c r="F310" s="71">
        <v>600000</v>
      </c>
      <c r="G310" s="71">
        <v>0</v>
      </c>
      <c r="H310" s="71">
        <v>0</v>
      </c>
      <c r="I310" s="80">
        <v>70000</v>
      </c>
    </row>
    <row r="311" spans="1:9" x14ac:dyDescent="0.35">
      <c r="A311" s="2">
        <v>284</v>
      </c>
      <c r="B311" s="2">
        <v>0.30842523719748749</v>
      </c>
      <c r="C311" s="2">
        <f t="shared" si="14"/>
        <v>25</v>
      </c>
      <c r="D311" s="22">
        <v>625000</v>
      </c>
      <c r="E311" s="71">
        <v>85000</v>
      </c>
      <c r="F311" s="71">
        <v>600000</v>
      </c>
      <c r="G311" s="71">
        <v>0</v>
      </c>
      <c r="H311" s="71">
        <v>0</v>
      </c>
      <c r="I311" s="80">
        <v>110000</v>
      </c>
    </row>
    <row r="312" spans="1:9" x14ac:dyDescent="0.35">
      <c r="A312" s="2">
        <v>285</v>
      </c>
      <c r="B312" s="2">
        <v>6.0062775165403703E-2</v>
      </c>
      <c r="C312" s="2">
        <f t="shared" si="14"/>
        <v>20</v>
      </c>
      <c r="D312" s="22">
        <v>500000</v>
      </c>
      <c r="E312" s="71">
        <v>170000</v>
      </c>
      <c r="F312" s="71">
        <v>600000</v>
      </c>
      <c r="G312" s="71">
        <v>0</v>
      </c>
      <c r="H312" s="71">
        <v>0</v>
      </c>
      <c r="I312" s="80">
        <v>70000</v>
      </c>
    </row>
    <row r="313" spans="1:9" x14ac:dyDescent="0.35">
      <c r="A313" s="2">
        <v>286</v>
      </c>
      <c r="B313" s="2">
        <v>0.24661277350941724</v>
      </c>
      <c r="C313" s="2">
        <f t="shared" si="14"/>
        <v>20</v>
      </c>
      <c r="D313" s="22">
        <v>500000</v>
      </c>
      <c r="E313" s="71">
        <v>170000</v>
      </c>
      <c r="F313" s="71">
        <v>600000</v>
      </c>
      <c r="G313" s="71">
        <v>0</v>
      </c>
      <c r="H313" s="71">
        <v>0</v>
      </c>
      <c r="I313" s="80">
        <v>70000</v>
      </c>
    </row>
    <row r="314" spans="1:9" x14ac:dyDescent="0.35">
      <c r="A314" s="2">
        <v>287</v>
      </c>
      <c r="B314" s="2">
        <v>0.7970901916042521</v>
      </c>
      <c r="C314" s="2">
        <f t="shared" si="14"/>
        <v>35</v>
      </c>
      <c r="D314" s="22">
        <v>750000</v>
      </c>
      <c r="E314" s="71">
        <v>0</v>
      </c>
      <c r="F314" s="71">
        <v>600000</v>
      </c>
      <c r="G314" s="71">
        <v>125000</v>
      </c>
      <c r="H314" s="71">
        <v>110000</v>
      </c>
      <c r="I314" s="80">
        <v>165000</v>
      </c>
    </row>
    <row r="315" spans="1:9" x14ac:dyDescent="0.35">
      <c r="A315" s="2">
        <v>288</v>
      </c>
      <c r="B315" s="2">
        <v>0.86098232228407945</v>
      </c>
      <c r="C315" s="2">
        <f t="shared" si="14"/>
        <v>40</v>
      </c>
      <c r="D315" s="22">
        <v>750000</v>
      </c>
      <c r="E315" s="71">
        <v>0</v>
      </c>
      <c r="F315" s="71">
        <v>600000</v>
      </c>
      <c r="G315" s="71">
        <v>250000</v>
      </c>
      <c r="H315" s="71">
        <v>220000</v>
      </c>
      <c r="I315" s="80">
        <v>180000</v>
      </c>
    </row>
    <row r="316" spans="1:9" x14ac:dyDescent="0.35">
      <c r="A316" s="2">
        <v>289</v>
      </c>
      <c r="B316" s="2">
        <v>0.35764882835316314</v>
      </c>
      <c r="C316" s="2">
        <f t="shared" si="14"/>
        <v>25</v>
      </c>
      <c r="D316" s="22">
        <v>625000</v>
      </c>
      <c r="E316" s="71">
        <v>85000</v>
      </c>
      <c r="F316" s="71">
        <v>600000</v>
      </c>
      <c r="G316" s="71">
        <v>0</v>
      </c>
      <c r="H316" s="71">
        <v>0</v>
      </c>
      <c r="I316" s="80">
        <v>110000</v>
      </c>
    </row>
    <row r="317" spans="1:9" x14ac:dyDescent="0.35">
      <c r="A317" s="2">
        <v>290</v>
      </c>
      <c r="B317" s="2">
        <v>0.58637888918855463</v>
      </c>
      <c r="C317" s="2">
        <f t="shared" si="14"/>
        <v>30</v>
      </c>
      <c r="D317" s="22">
        <v>750000</v>
      </c>
      <c r="E317" s="71">
        <v>0</v>
      </c>
      <c r="F317" s="71">
        <v>600000</v>
      </c>
      <c r="G317" s="71">
        <v>0</v>
      </c>
      <c r="H317" s="71">
        <v>0</v>
      </c>
      <c r="I317" s="80">
        <v>150000</v>
      </c>
    </row>
    <row r="318" spans="1:9" x14ac:dyDescent="0.35">
      <c r="A318" s="2">
        <v>291</v>
      </c>
      <c r="B318" s="2">
        <v>0.58455373798284405</v>
      </c>
      <c r="C318" s="2">
        <f t="shared" si="14"/>
        <v>30</v>
      </c>
      <c r="D318" s="22">
        <v>750000</v>
      </c>
      <c r="E318" s="71">
        <v>0</v>
      </c>
      <c r="F318" s="71">
        <v>600000</v>
      </c>
      <c r="G318" s="71">
        <v>0</v>
      </c>
      <c r="H318" s="71">
        <v>0</v>
      </c>
      <c r="I318" s="80">
        <v>150000</v>
      </c>
    </row>
    <row r="319" spans="1:9" x14ac:dyDescent="0.35">
      <c r="A319" s="2">
        <v>292</v>
      </c>
      <c r="B319" s="2">
        <v>0.23077691317923577</v>
      </c>
      <c r="C319" s="2">
        <f t="shared" si="14"/>
        <v>20</v>
      </c>
      <c r="D319" s="22">
        <v>500000</v>
      </c>
      <c r="E319" s="71">
        <v>170000</v>
      </c>
      <c r="F319" s="71">
        <v>600000</v>
      </c>
      <c r="G319" s="71">
        <v>0</v>
      </c>
      <c r="H319" s="71">
        <v>0</v>
      </c>
      <c r="I319" s="80">
        <v>70000</v>
      </c>
    </row>
    <row r="320" spans="1:9" x14ac:dyDescent="0.35">
      <c r="A320" s="2">
        <v>293</v>
      </c>
      <c r="B320" s="2">
        <v>4.2013554695527588E-2</v>
      </c>
      <c r="C320" s="2">
        <f t="shared" si="14"/>
        <v>20</v>
      </c>
      <c r="D320" s="22">
        <v>500000</v>
      </c>
      <c r="E320" s="71">
        <v>170000</v>
      </c>
      <c r="F320" s="71">
        <v>600000</v>
      </c>
      <c r="G320" s="71">
        <v>0</v>
      </c>
      <c r="H320" s="71">
        <v>0</v>
      </c>
      <c r="I320" s="80">
        <v>70000</v>
      </c>
    </row>
    <row r="321" spans="1:9" x14ac:dyDescent="0.35">
      <c r="A321" s="2">
        <v>294</v>
      </c>
      <c r="B321" s="2">
        <v>0.37351686471084622</v>
      </c>
      <c r="C321" s="2">
        <f t="shared" si="14"/>
        <v>25</v>
      </c>
      <c r="D321" s="22">
        <v>625000</v>
      </c>
      <c r="E321" s="71">
        <v>85000</v>
      </c>
      <c r="F321" s="71">
        <v>600000</v>
      </c>
      <c r="G321" s="71">
        <v>0</v>
      </c>
      <c r="H321" s="71">
        <v>0</v>
      </c>
      <c r="I321" s="80">
        <v>110000</v>
      </c>
    </row>
    <row r="322" spans="1:9" x14ac:dyDescent="0.35">
      <c r="A322" s="2">
        <v>295</v>
      </c>
      <c r="B322" s="2">
        <v>0.26484641994968039</v>
      </c>
      <c r="C322" s="2">
        <f t="shared" si="14"/>
        <v>20</v>
      </c>
      <c r="D322" s="22">
        <v>500000</v>
      </c>
      <c r="E322" s="71">
        <v>170000</v>
      </c>
      <c r="F322" s="71">
        <v>600000</v>
      </c>
      <c r="G322" s="71">
        <v>0</v>
      </c>
      <c r="H322" s="71">
        <v>0</v>
      </c>
      <c r="I322" s="80">
        <v>70000</v>
      </c>
    </row>
    <row r="323" spans="1:9" x14ac:dyDescent="0.35">
      <c r="A323" s="2">
        <v>296</v>
      </c>
      <c r="B323" s="2">
        <v>8.387968855281136E-2</v>
      </c>
      <c r="C323" s="2">
        <f t="shared" si="14"/>
        <v>20</v>
      </c>
      <c r="D323" s="22">
        <v>500000</v>
      </c>
      <c r="E323" s="71">
        <v>170000</v>
      </c>
      <c r="F323" s="71">
        <v>600000</v>
      </c>
      <c r="G323" s="71">
        <v>0</v>
      </c>
      <c r="H323" s="71">
        <v>0</v>
      </c>
      <c r="I323" s="80">
        <v>70000</v>
      </c>
    </row>
    <row r="324" spans="1:9" x14ac:dyDescent="0.35">
      <c r="A324" s="2">
        <v>297</v>
      </c>
      <c r="B324" s="2">
        <v>0.90386202028269413</v>
      </c>
      <c r="C324" s="2">
        <f t="shared" si="14"/>
        <v>40</v>
      </c>
      <c r="D324" s="22">
        <v>750000</v>
      </c>
      <c r="E324" s="71">
        <v>0</v>
      </c>
      <c r="F324" s="71">
        <v>600000</v>
      </c>
      <c r="G324" s="71">
        <v>250000</v>
      </c>
      <c r="H324" s="71">
        <v>220000</v>
      </c>
      <c r="I324" s="80">
        <v>180000</v>
      </c>
    </row>
    <row r="325" spans="1:9" x14ac:dyDescent="0.35">
      <c r="A325" s="2">
        <v>298</v>
      </c>
      <c r="B325" s="2">
        <v>0.7027044904766061</v>
      </c>
      <c r="C325" s="2">
        <f t="shared" si="14"/>
        <v>35</v>
      </c>
      <c r="D325" s="22">
        <v>750000</v>
      </c>
      <c r="E325" s="71">
        <v>0</v>
      </c>
      <c r="F325" s="71">
        <v>600000</v>
      </c>
      <c r="G325" s="71">
        <v>125000</v>
      </c>
      <c r="H325" s="71">
        <v>110000</v>
      </c>
      <c r="I325" s="80">
        <v>165000</v>
      </c>
    </row>
    <row r="326" spans="1:9" x14ac:dyDescent="0.35">
      <c r="A326" s="2">
        <v>299</v>
      </c>
      <c r="B326" s="2">
        <v>0.66872117281372367</v>
      </c>
      <c r="C326" s="2">
        <f t="shared" si="14"/>
        <v>35</v>
      </c>
      <c r="D326" s="22">
        <v>750000</v>
      </c>
      <c r="E326" s="71">
        <v>0</v>
      </c>
      <c r="F326" s="71">
        <v>600000</v>
      </c>
      <c r="G326" s="71">
        <v>125000</v>
      </c>
      <c r="H326" s="71">
        <v>110000</v>
      </c>
      <c r="I326" s="80">
        <v>165000</v>
      </c>
    </row>
    <row r="327" spans="1:9" x14ac:dyDescent="0.35">
      <c r="A327" s="2">
        <v>300</v>
      </c>
      <c r="B327" s="2">
        <v>0.68285222569003357</v>
      </c>
      <c r="C327" s="2">
        <f t="shared" si="14"/>
        <v>35</v>
      </c>
      <c r="D327" s="22">
        <v>750000</v>
      </c>
      <c r="E327" s="71">
        <v>0</v>
      </c>
      <c r="F327" s="71">
        <v>600000</v>
      </c>
      <c r="G327" s="71">
        <v>125000</v>
      </c>
      <c r="H327" s="71">
        <v>110000</v>
      </c>
      <c r="I327" s="80">
        <v>165000</v>
      </c>
    </row>
    <row r="328" spans="1:9" x14ac:dyDescent="0.35">
      <c r="A328" s="2">
        <v>301</v>
      </c>
      <c r="B328" s="2">
        <v>0.64979976094213565</v>
      </c>
      <c r="C328" s="2">
        <f t="shared" si="14"/>
        <v>35</v>
      </c>
      <c r="D328" s="22">
        <v>750000</v>
      </c>
      <c r="E328" s="71">
        <v>0</v>
      </c>
      <c r="F328" s="71">
        <v>600000</v>
      </c>
      <c r="G328" s="71">
        <v>125000</v>
      </c>
      <c r="H328" s="71">
        <v>110000</v>
      </c>
      <c r="I328" s="80">
        <v>165000</v>
      </c>
    </row>
    <row r="329" spans="1:9" x14ac:dyDescent="0.35">
      <c r="A329" s="2">
        <v>302</v>
      </c>
      <c r="B329" s="2">
        <v>0.48804892175013936</v>
      </c>
      <c r="C329" s="2">
        <f t="shared" si="14"/>
        <v>30</v>
      </c>
      <c r="D329" s="22">
        <v>750000</v>
      </c>
      <c r="E329" s="71">
        <v>0</v>
      </c>
      <c r="F329" s="71">
        <v>600000</v>
      </c>
      <c r="G329" s="71">
        <v>0</v>
      </c>
      <c r="H329" s="71">
        <v>0</v>
      </c>
      <c r="I329" s="80">
        <v>150000</v>
      </c>
    </row>
    <row r="330" spans="1:9" x14ac:dyDescent="0.35">
      <c r="A330" s="2">
        <v>303</v>
      </c>
      <c r="B330" s="2">
        <v>0.19824801369313161</v>
      </c>
      <c r="C330" s="2">
        <f t="shared" si="14"/>
        <v>20</v>
      </c>
      <c r="D330" s="22">
        <v>500000</v>
      </c>
      <c r="E330" s="71">
        <v>170000</v>
      </c>
      <c r="F330" s="71">
        <v>600000</v>
      </c>
      <c r="G330" s="71">
        <v>0</v>
      </c>
      <c r="H330" s="71">
        <v>0</v>
      </c>
      <c r="I330" s="80">
        <v>70000</v>
      </c>
    </row>
    <row r="331" spans="1:9" x14ac:dyDescent="0.35">
      <c r="A331" s="2">
        <v>304</v>
      </c>
      <c r="B331" s="2">
        <v>0.23494159745340126</v>
      </c>
      <c r="C331" s="2">
        <f t="shared" si="14"/>
        <v>20</v>
      </c>
      <c r="D331" s="22">
        <v>500000</v>
      </c>
      <c r="E331" s="71">
        <v>170000</v>
      </c>
      <c r="F331" s="71">
        <v>600000</v>
      </c>
      <c r="G331" s="71">
        <v>0</v>
      </c>
      <c r="H331" s="71">
        <v>0</v>
      </c>
      <c r="I331" s="80">
        <v>70000</v>
      </c>
    </row>
    <row r="332" spans="1:9" x14ac:dyDescent="0.35">
      <c r="A332" s="2">
        <v>305</v>
      </c>
      <c r="B332" s="2">
        <v>6.2548510400056267E-2</v>
      </c>
      <c r="C332" s="2">
        <f t="shared" si="14"/>
        <v>20</v>
      </c>
      <c r="D332" s="22">
        <v>500000</v>
      </c>
      <c r="E332" s="71">
        <v>170000</v>
      </c>
      <c r="F332" s="71">
        <v>600000</v>
      </c>
      <c r="G332" s="71">
        <v>0</v>
      </c>
      <c r="H332" s="71">
        <v>0</v>
      </c>
      <c r="I332" s="80">
        <v>70000</v>
      </c>
    </row>
    <row r="333" spans="1:9" x14ac:dyDescent="0.35">
      <c r="A333" s="2">
        <v>306</v>
      </c>
      <c r="B333" s="2">
        <v>0.3901101276695621</v>
      </c>
      <c r="C333" s="2">
        <f t="shared" si="14"/>
        <v>25</v>
      </c>
      <c r="D333" s="22">
        <v>625000</v>
      </c>
      <c r="E333" s="71">
        <v>85000</v>
      </c>
      <c r="F333" s="71">
        <v>600000</v>
      </c>
      <c r="G333" s="71">
        <v>0</v>
      </c>
      <c r="H333" s="71">
        <v>0</v>
      </c>
      <c r="I333" s="80">
        <v>110000</v>
      </c>
    </row>
    <row r="334" spans="1:9" x14ac:dyDescent="0.35">
      <c r="A334" s="2">
        <v>307</v>
      </c>
      <c r="B334" s="2">
        <v>0.43658982536114133</v>
      </c>
      <c r="C334" s="2">
        <f t="shared" si="14"/>
        <v>25</v>
      </c>
      <c r="D334" s="22">
        <v>625000</v>
      </c>
      <c r="E334" s="71">
        <v>85000</v>
      </c>
      <c r="F334" s="71">
        <v>600000</v>
      </c>
      <c r="G334" s="71">
        <v>0</v>
      </c>
      <c r="H334" s="71">
        <v>0</v>
      </c>
      <c r="I334" s="80">
        <v>110000</v>
      </c>
    </row>
    <row r="335" spans="1:9" x14ac:dyDescent="0.35">
      <c r="A335" s="2">
        <v>308</v>
      </c>
      <c r="B335" s="2">
        <v>0.4526036426147052</v>
      </c>
      <c r="C335" s="2">
        <f t="shared" si="14"/>
        <v>30</v>
      </c>
      <c r="D335" s="22">
        <v>750000</v>
      </c>
      <c r="E335" s="71">
        <v>0</v>
      </c>
      <c r="F335" s="71">
        <v>600000</v>
      </c>
      <c r="G335" s="71">
        <v>0</v>
      </c>
      <c r="H335" s="71">
        <v>0</v>
      </c>
      <c r="I335" s="80">
        <v>150000</v>
      </c>
    </row>
    <row r="336" spans="1:9" x14ac:dyDescent="0.35">
      <c r="A336" s="2">
        <v>309</v>
      </c>
      <c r="B336" s="2">
        <v>0.65025701289587967</v>
      </c>
      <c r="C336" s="2">
        <f t="shared" si="14"/>
        <v>35</v>
      </c>
      <c r="D336" s="22">
        <v>750000</v>
      </c>
      <c r="E336" s="71">
        <v>0</v>
      </c>
      <c r="F336" s="71">
        <v>600000</v>
      </c>
      <c r="G336" s="71">
        <v>125000</v>
      </c>
      <c r="H336" s="71">
        <v>110000</v>
      </c>
      <c r="I336" s="80">
        <v>165000</v>
      </c>
    </row>
    <row r="337" spans="1:9" x14ac:dyDescent="0.35">
      <c r="A337" s="2">
        <v>310</v>
      </c>
      <c r="B337" s="2">
        <v>0.90045556361509982</v>
      </c>
      <c r="C337" s="2">
        <f t="shared" si="14"/>
        <v>40</v>
      </c>
      <c r="D337" s="22">
        <v>750000</v>
      </c>
      <c r="E337" s="71">
        <v>0</v>
      </c>
      <c r="F337" s="71">
        <v>600000</v>
      </c>
      <c r="G337" s="71">
        <v>250000</v>
      </c>
      <c r="H337" s="71">
        <v>220000</v>
      </c>
      <c r="I337" s="80">
        <v>180000</v>
      </c>
    </row>
    <row r="338" spans="1:9" x14ac:dyDescent="0.35">
      <c r="A338" s="2">
        <v>311</v>
      </c>
      <c r="B338" s="2">
        <v>0.34914855388358645</v>
      </c>
      <c r="C338" s="2">
        <f t="shared" si="14"/>
        <v>25</v>
      </c>
      <c r="D338" s="22">
        <v>625000</v>
      </c>
      <c r="E338" s="71">
        <v>85000</v>
      </c>
      <c r="F338" s="71">
        <v>600000</v>
      </c>
      <c r="G338" s="71">
        <v>0</v>
      </c>
      <c r="H338" s="71">
        <v>0</v>
      </c>
      <c r="I338" s="80">
        <v>110000</v>
      </c>
    </row>
    <row r="339" spans="1:9" x14ac:dyDescent="0.35">
      <c r="A339" s="2">
        <v>312</v>
      </c>
      <c r="B339" s="2">
        <v>0.7536642745527905</v>
      </c>
      <c r="C339" s="2">
        <f t="shared" si="14"/>
        <v>35</v>
      </c>
      <c r="D339" s="22">
        <v>750000</v>
      </c>
      <c r="E339" s="71">
        <v>0</v>
      </c>
      <c r="F339" s="71">
        <v>600000</v>
      </c>
      <c r="G339" s="71">
        <v>125000</v>
      </c>
      <c r="H339" s="71">
        <v>110000</v>
      </c>
      <c r="I339" s="80">
        <v>165000</v>
      </c>
    </row>
    <row r="340" spans="1:9" x14ac:dyDescent="0.35">
      <c r="A340" s="2">
        <v>313</v>
      </c>
      <c r="B340" s="2">
        <v>0.52525552646070672</v>
      </c>
      <c r="C340" s="2">
        <f t="shared" si="14"/>
        <v>30</v>
      </c>
      <c r="D340" s="22">
        <v>750000</v>
      </c>
      <c r="E340" s="71">
        <v>0</v>
      </c>
      <c r="F340" s="71">
        <v>600000</v>
      </c>
      <c r="G340" s="71">
        <v>0</v>
      </c>
      <c r="H340" s="71">
        <v>0</v>
      </c>
      <c r="I340" s="80">
        <v>150000</v>
      </c>
    </row>
    <row r="341" spans="1:9" x14ac:dyDescent="0.35">
      <c r="A341" s="2">
        <v>314</v>
      </c>
      <c r="B341" s="2">
        <v>0.92838485848610786</v>
      </c>
      <c r="C341" s="2">
        <f t="shared" si="14"/>
        <v>40</v>
      </c>
      <c r="D341" s="22">
        <v>750000</v>
      </c>
      <c r="E341" s="71">
        <v>0</v>
      </c>
      <c r="F341" s="71">
        <v>600000</v>
      </c>
      <c r="G341" s="71">
        <v>250000</v>
      </c>
      <c r="H341" s="71">
        <v>220000</v>
      </c>
      <c r="I341" s="80">
        <v>180000</v>
      </c>
    </row>
    <row r="342" spans="1:9" x14ac:dyDescent="0.35">
      <c r="A342" s="2">
        <v>315</v>
      </c>
      <c r="B342" s="2">
        <v>0.58821705986635764</v>
      </c>
      <c r="C342" s="2">
        <f t="shared" si="14"/>
        <v>30</v>
      </c>
      <c r="D342" s="22">
        <v>750000</v>
      </c>
      <c r="E342" s="71">
        <v>0</v>
      </c>
      <c r="F342" s="71">
        <v>600000</v>
      </c>
      <c r="G342" s="71">
        <v>0</v>
      </c>
      <c r="H342" s="71">
        <v>0</v>
      </c>
      <c r="I342" s="80">
        <v>150000</v>
      </c>
    </row>
    <row r="343" spans="1:9" x14ac:dyDescent="0.35">
      <c r="A343" s="2">
        <v>316</v>
      </c>
      <c r="B343" s="2">
        <v>0.7088120744038704</v>
      </c>
      <c r="C343" s="2">
        <f t="shared" si="14"/>
        <v>35</v>
      </c>
      <c r="D343" s="22">
        <v>750000</v>
      </c>
      <c r="E343" s="71">
        <v>0</v>
      </c>
      <c r="F343" s="71">
        <v>600000</v>
      </c>
      <c r="G343" s="71">
        <v>125000</v>
      </c>
      <c r="H343" s="71">
        <v>110000</v>
      </c>
      <c r="I343" s="80">
        <v>165000</v>
      </c>
    </row>
    <row r="344" spans="1:9" x14ac:dyDescent="0.35">
      <c r="A344" s="2">
        <v>317</v>
      </c>
      <c r="B344" s="2">
        <v>0.75540914878789234</v>
      </c>
      <c r="C344" s="2">
        <f t="shared" si="14"/>
        <v>35</v>
      </c>
      <c r="D344" s="22">
        <v>750000</v>
      </c>
      <c r="E344" s="71">
        <v>0</v>
      </c>
      <c r="F344" s="71">
        <v>600000</v>
      </c>
      <c r="G344" s="71">
        <v>125000</v>
      </c>
      <c r="H344" s="71">
        <v>110000</v>
      </c>
      <c r="I344" s="80">
        <v>165000</v>
      </c>
    </row>
    <row r="345" spans="1:9" x14ac:dyDescent="0.35">
      <c r="A345" s="2">
        <v>318</v>
      </c>
      <c r="B345" s="2">
        <v>0.40168672585051224</v>
      </c>
      <c r="C345" s="2">
        <f t="shared" si="14"/>
        <v>25</v>
      </c>
      <c r="D345" s="22">
        <v>625000</v>
      </c>
      <c r="E345" s="71">
        <v>85000</v>
      </c>
      <c r="F345" s="71">
        <v>600000</v>
      </c>
      <c r="G345" s="71">
        <v>0</v>
      </c>
      <c r="H345" s="71">
        <v>0</v>
      </c>
      <c r="I345" s="80">
        <v>110000</v>
      </c>
    </row>
    <row r="346" spans="1:9" x14ac:dyDescent="0.35">
      <c r="A346" s="2">
        <v>319</v>
      </c>
      <c r="B346" s="2">
        <v>0.44184853324275064</v>
      </c>
      <c r="C346" s="2">
        <f t="shared" si="14"/>
        <v>25</v>
      </c>
      <c r="D346" s="22">
        <v>625000</v>
      </c>
      <c r="E346" s="71">
        <v>85000</v>
      </c>
      <c r="F346" s="71">
        <v>600000</v>
      </c>
      <c r="G346" s="71">
        <v>0</v>
      </c>
      <c r="H346" s="71">
        <v>0</v>
      </c>
      <c r="I346" s="80">
        <v>110000</v>
      </c>
    </row>
    <row r="347" spans="1:9" x14ac:dyDescent="0.35">
      <c r="A347" s="2">
        <v>320</v>
      </c>
      <c r="B347" s="2">
        <v>0.358385514629317</v>
      </c>
      <c r="C347" s="2">
        <f t="shared" si="14"/>
        <v>25</v>
      </c>
      <c r="D347" s="22">
        <v>625000</v>
      </c>
      <c r="E347" s="71">
        <v>85000</v>
      </c>
      <c r="F347" s="71">
        <v>600000</v>
      </c>
      <c r="G347" s="71">
        <v>0</v>
      </c>
      <c r="H347" s="71">
        <v>0</v>
      </c>
      <c r="I347" s="80">
        <v>110000</v>
      </c>
    </row>
    <row r="348" spans="1:9" x14ac:dyDescent="0.35">
      <c r="A348" s="2">
        <v>321</v>
      </c>
      <c r="B348" s="2">
        <v>0.34188173091366636</v>
      </c>
      <c r="C348" s="2">
        <f t="shared" si="14"/>
        <v>25</v>
      </c>
      <c r="D348" s="22">
        <v>625000</v>
      </c>
      <c r="E348" s="71">
        <v>85000</v>
      </c>
      <c r="F348" s="71">
        <v>600000</v>
      </c>
      <c r="G348" s="71">
        <v>0</v>
      </c>
      <c r="H348" s="71">
        <v>0</v>
      </c>
      <c r="I348" s="80">
        <v>110000</v>
      </c>
    </row>
    <row r="349" spans="1:9" x14ac:dyDescent="0.35">
      <c r="A349" s="2">
        <v>322</v>
      </c>
      <c r="B349" s="2">
        <v>0.49534723190859464</v>
      </c>
      <c r="C349" s="2">
        <f t="shared" ref="C349:C412" si="15">VLOOKUP(B349,$D$5:$F$10,2,TRUE)</f>
        <v>30</v>
      </c>
      <c r="D349" s="22">
        <v>750000</v>
      </c>
      <c r="E349" s="71">
        <v>0</v>
      </c>
      <c r="F349" s="71">
        <v>600000</v>
      </c>
      <c r="G349" s="71">
        <v>0</v>
      </c>
      <c r="H349" s="71">
        <v>0</v>
      </c>
      <c r="I349" s="80">
        <v>150000</v>
      </c>
    </row>
    <row r="350" spans="1:9" x14ac:dyDescent="0.35">
      <c r="A350" s="2">
        <v>323</v>
      </c>
      <c r="B350" s="2">
        <v>0.15302869684785647</v>
      </c>
      <c r="C350" s="2">
        <f t="shared" si="15"/>
        <v>20</v>
      </c>
      <c r="D350" s="22">
        <v>500000</v>
      </c>
      <c r="E350" s="71">
        <v>170000</v>
      </c>
      <c r="F350" s="71">
        <v>600000</v>
      </c>
      <c r="G350" s="71">
        <v>0</v>
      </c>
      <c r="H350" s="71">
        <v>0</v>
      </c>
      <c r="I350" s="80">
        <v>70000</v>
      </c>
    </row>
    <row r="351" spans="1:9" x14ac:dyDescent="0.35">
      <c r="A351" s="2">
        <v>324</v>
      </c>
      <c r="B351" s="2">
        <v>0.68942342214569308</v>
      </c>
      <c r="C351" s="2">
        <f t="shared" si="15"/>
        <v>35</v>
      </c>
      <c r="D351" s="22">
        <v>750000</v>
      </c>
      <c r="E351" s="71">
        <v>0</v>
      </c>
      <c r="F351" s="71">
        <v>600000</v>
      </c>
      <c r="G351" s="71">
        <v>125000</v>
      </c>
      <c r="H351" s="71">
        <v>110000</v>
      </c>
      <c r="I351" s="80">
        <v>165000</v>
      </c>
    </row>
    <row r="352" spans="1:9" x14ac:dyDescent="0.35">
      <c r="A352" s="2">
        <v>325</v>
      </c>
      <c r="B352" s="2">
        <v>0.53909970857806089</v>
      </c>
      <c r="C352" s="2">
        <f t="shared" si="15"/>
        <v>30</v>
      </c>
      <c r="D352" s="22">
        <v>750000</v>
      </c>
      <c r="E352" s="71">
        <v>0</v>
      </c>
      <c r="F352" s="71">
        <v>600000</v>
      </c>
      <c r="G352" s="71">
        <v>0</v>
      </c>
      <c r="H352" s="71">
        <v>0</v>
      </c>
      <c r="I352" s="80">
        <v>150000</v>
      </c>
    </row>
    <row r="353" spans="1:9" x14ac:dyDescent="0.35">
      <c r="A353" s="2">
        <v>326</v>
      </c>
      <c r="B353" s="2">
        <v>0.26158192940451375</v>
      </c>
      <c r="C353" s="2">
        <f t="shared" si="15"/>
        <v>20</v>
      </c>
      <c r="D353" s="22">
        <v>500000</v>
      </c>
      <c r="E353" s="71">
        <v>170000</v>
      </c>
      <c r="F353" s="71">
        <v>600000</v>
      </c>
      <c r="G353" s="71">
        <v>0</v>
      </c>
      <c r="H353" s="71">
        <v>0</v>
      </c>
      <c r="I353" s="80">
        <v>70000</v>
      </c>
    </row>
    <row r="354" spans="1:9" x14ac:dyDescent="0.35">
      <c r="A354" s="2">
        <v>327</v>
      </c>
      <c r="B354" s="2">
        <v>0.70446060139665823</v>
      </c>
      <c r="C354" s="2">
        <f t="shared" si="15"/>
        <v>35</v>
      </c>
      <c r="D354" s="22">
        <v>750000</v>
      </c>
      <c r="E354" s="71">
        <v>0</v>
      </c>
      <c r="F354" s="71">
        <v>600000</v>
      </c>
      <c r="G354" s="71">
        <v>125000</v>
      </c>
      <c r="H354" s="71">
        <v>110000</v>
      </c>
      <c r="I354" s="80">
        <v>165000</v>
      </c>
    </row>
    <row r="355" spans="1:9" x14ac:dyDescent="0.35">
      <c r="A355" s="2">
        <v>328</v>
      </c>
      <c r="B355" s="2">
        <v>0.75714982018219534</v>
      </c>
      <c r="C355" s="2">
        <f t="shared" si="15"/>
        <v>35</v>
      </c>
      <c r="D355" s="22">
        <v>750000</v>
      </c>
      <c r="E355" s="71">
        <v>0</v>
      </c>
      <c r="F355" s="71">
        <v>600000</v>
      </c>
      <c r="G355" s="71">
        <v>125000</v>
      </c>
      <c r="H355" s="71">
        <v>110000</v>
      </c>
      <c r="I355" s="80">
        <v>165000</v>
      </c>
    </row>
    <row r="356" spans="1:9" x14ac:dyDescent="0.35">
      <c r="A356" s="2">
        <v>329</v>
      </c>
      <c r="B356" s="2">
        <v>0.65509612394569117</v>
      </c>
      <c r="C356" s="2">
        <f t="shared" si="15"/>
        <v>35</v>
      </c>
      <c r="D356" s="22">
        <v>750000</v>
      </c>
      <c r="E356" s="71">
        <v>0</v>
      </c>
      <c r="F356" s="71">
        <v>600000</v>
      </c>
      <c r="G356" s="71">
        <v>125000</v>
      </c>
      <c r="H356" s="71">
        <v>110000</v>
      </c>
      <c r="I356" s="80">
        <v>165000</v>
      </c>
    </row>
    <row r="357" spans="1:9" x14ac:dyDescent="0.35">
      <c r="A357" s="2">
        <v>330</v>
      </c>
      <c r="B357" s="2">
        <v>0.41115433876597829</v>
      </c>
      <c r="C357" s="2">
        <f t="shared" si="15"/>
        <v>25</v>
      </c>
      <c r="D357" s="22">
        <v>625000</v>
      </c>
      <c r="E357" s="71">
        <v>85000</v>
      </c>
      <c r="F357" s="71">
        <v>600000</v>
      </c>
      <c r="G357" s="71">
        <v>0</v>
      </c>
      <c r="H357" s="71">
        <v>0</v>
      </c>
      <c r="I357" s="80">
        <v>110000</v>
      </c>
    </row>
    <row r="358" spans="1:9" x14ac:dyDescent="0.35">
      <c r="A358" s="2">
        <v>331</v>
      </c>
      <c r="B358" s="2">
        <v>0.49465899769099564</v>
      </c>
      <c r="C358" s="2">
        <f t="shared" si="15"/>
        <v>30</v>
      </c>
      <c r="D358" s="22">
        <v>750000</v>
      </c>
      <c r="E358" s="71">
        <v>0</v>
      </c>
      <c r="F358" s="71">
        <v>600000</v>
      </c>
      <c r="G358" s="71">
        <v>0</v>
      </c>
      <c r="H358" s="71">
        <v>0</v>
      </c>
      <c r="I358" s="80">
        <v>150000</v>
      </c>
    </row>
    <row r="359" spans="1:9" x14ac:dyDescent="0.35">
      <c r="A359" s="2">
        <v>332</v>
      </c>
      <c r="B359" s="2">
        <v>0.29892575448767511</v>
      </c>
      <c r="C359" s="2">
        <f t="shared" si="15"/>
        <v>20</v>
      </c>
      <c r="D359" s="22">
        <v>500000</v>
      </c>
      <c r="E359" s="71">
        <v>170000</v>
      </c>
      <c r="F359" s="71">
        <v>600000</v>
      </c>
      <c r="G359" s="71">
        <v>0</v>
      </c>
      <c r="H359" s="71">
        <v>0</v>
      </c>
      <c r="I359" s="80">
        <v>70000</v>
      </c>
    </row>
    <row r="360" spans="1:9" x14ac:dyDescent="0.35">
      <c r="A360" s="2">
        <v>333</v>
      </c>
      <c r="B360" s="2">
        <v>0.77717799684659672</v>
      </c>
      <c r="C360" s="2">
        <f t="shared" si="15"/>
        <v>35</v>
      </c>
      <c r="D360" s="22">
        <v>750000</v>
      </c>
      <c r="E360" s="71">
        <v>0</v>
      </c>
      <c r="F360" s="71">
        <v>600000</v>
      </c>
      <c r="G360" s="71">
        <v>125000</v>
      </c>
      <c r="H360" s="71">
        <v>110000</v>
      </c>
      <c r="I360" s="80">
        <v>165000</v>
      </c>
    </row>
    <row r="361" spans="1:9" x14ac:dyDescent="0.35">
      <c r="A361" s="2">
        <v>334</v>
      </c>
      <c r="B361" s="2">
        <v>0.66434348146748168</v>
      </c>
      <c r="C361" s="2">
        <f t="shared" si="15"/>
        <v>35</v>
      </c>
      <c r="D361" s="22">
        <v>750000</v>
      </c>
      <c r="E361" s="71">
        <v>0</v>
      </c>
      <c r="F361" s="71">
        <v>600000</v>
      </c>
      <c r="G361" s="71">
        <v>125000</v>
      </c>
      <c r="H361" s="71">
        <v>110000</v>
      </c>
      <c r="I361" s="80">
        <v>165000</v>
      </c>
    </row>
    <row r="362" spans="1:9" x14ac:dyDescent="0.35">
      <c r="A362" s="2">
        <v>335</v>
      </c>
      <c r="B362" s="2">
        <v>0.29412262945618339</v>
      </c>
      <c r="C362" s="2">
        <f t="shared" si="15"/>
        <v>20</v>
      </c>
      <c r="D362" s="22">
        <v>500000</v>
      </c>
      <c r="E362" s="71">
        <v>170000</v>
      </c>
      <c r="F362" s="71">
        <v>600000</v>
      </c>
      <c r="G362" s="71">
        <v>0</v>
      </c>
      <c r="H362" s="71">
        <v>0</v>
      </c>
      <c r="I362" s="80">
        <v>70000</v>
      </c>
    </row>
    <row r="363" spans="1:9" x14ac:dyDescent="0.35">
      <c r="A363" s="2">
        <v>336</v>
      </c>
      <c r="B363" s="2">
        <v>0.21011886795815649</v>
      </c>
      <c r="C363" s="2">
        <f t="shared" si="15"/>
        <v>20</v>
      </c>
      <c r="D363" s="22">
        <v>500000</v>
      </c>
      <c r="E363" s="71">
        <v>170000</v>
      </c>
      <c r="F363" s="71">
        <v>600000</v>
      </c>
      <c r="G363" s="71">
        <v>0</v>
      </c>
      <c r="H363" s="71">
        <v>0</v>
      </c>
      <c r="I363" s="80">
        <v>70000</v>
      </c>
    </row>
    <row r="364" spans="1:9" x14ac:dyDescent="0.35">
      <c r="A364" s="2">
        <v>337</v>
      </c>
      <c r="B364" s="2">
        <v>8.9387980338425321E-2</v>
      </c>
      <c r="C364" s="2">
        <f t="shared" si="15"/>
        <v>20</v>
      </c>
      <c r="D364" s="22">
        <v>500000</v>
      </c>
      <c r="E364" s="71">
        <v>170000</v>
      </c>
      <c r="F364" s="71">
        <v>600000</v>
      </c>
      <c r="G364" s="71">
        <v>0</v>
      </c>
      <c r="H364" s="71">
        <v>0</v>
      </c>
      <c r="I364" s="80">
        <v>70000</v>
      </c>
    </row>
    <row r="365" spans="1:9" x14ac:dyDescent="0.35">
      <c r="A365" s="2">
        <v>338</v>
      </c>
      <c r="B365" s="2">
        <v>0.90826577026412869</v>
      </c>
      <c r="C365" s="2">
        <f t="shared" si="15"/>
        <v>40</v>
      </c>
      <c r="D365" s="22">
        <v>750000</v>
      </c>
      <c r="E365" s="71">
        <v>0</v>
      </c>
      <c r="F365" s="71">
        <v>600000</v>
      </c>
      <c r="G365" s="71">
        <v>250000</v>
      </c>
      <c r="H365" s="71">
        <v>220000</v>
      </c>
      <c r="I365" s="80">
        <v>180000</v>
      </c>
    </row>
    <row r="366" spans="1:9" x14ac:dyDescent="0.35">
      <c r="A366" s="2">
        <v>339</v>
      </c>
      <c r="B366" s="2">
        <v>0.91271842542132686</v>
      </c>
      <c r="C366" s="2">
        <f t="shared" si="15"/>
        <v>40</v>
      </c>
      <c r="D366" s="22">
        <v>750000</v>
      </c>
      <c r="E366" s="71">
        <v>0</v>
      </c>
      <c r="F366" s="71">
        <v>600000</v>
      </c>
      <c r="G366" s="71">
        <v>250000</v>
      </c>
      <c r="H366" s="71">
        <v>220000</v>
      </c>
      <c r="I366" s="80">
        <v>180000</v>
      </c>
    </row>
    <row r="367" spans="1:9" x14ac:dyDescent="0.35">
      <c r="A367" s="2">
        <v>340</v>
      </c>
      <c r="B367" s="2">
        <v>0.61540490208880794</v>
      </c>
      <c r="C367" s="2">
        <f t="shared" si="15"/>
        <v>35</v>
      </c>
      <c r="D367" s="22">
        <v>750000</v>
      </c>
      <c r="E367" s="71">
        <v>0</v>
      </c>
      <c r="F367" s="71">
        <v>600000</v>
      </c>
      <c r="G367" s="71">
        <v>125000</v>
      </c>
      <c r="H367" s="71">
        <v>110000</v>
      </c>
      <c r="I367" s="80">
        <v>165000</v>
      </c>
    </row>
    <row r="368" spans="1:9" x14ac:dyDescent="0.35">
      <c r="A368" s="2">
        <v>341</v>
      </c>
      <c r="B368" s="2">
        <v>0.44270547776340796</v>
      </c>
      <c r="C368" s="2">
        <f t="shared" si="15"/>
        <v>25</v>
      </c>
      <c r="D368" s="22">
        <v>625000</v>
      </c>
      <c r="E368" s="71">
        <v>85000</v>
      </c>
      <c r="F368" s="71">
        <v>600000</v>
      </c>
      <c r="G368" s="71">
        <v>0</v>
      </c>
      <c r="H368" s="71">
        <v>0</v>
      </c>
      <c r="I368" s="80">
        <v>110000</v>
      </c>
    </row>
    <row r="369" spans="1:9" x14ac:dyDescent="0.35">
      <c r="A369" s="2">
        <v>342</v>
      </c>
      <c r="B369" s="2">
        <v>0.18036083623989108</v>
      </c>
      <c r="C369" s="2">
        <f t="shared" si="15"/>
        <v>20</v>
      </c>
      <c r="D369" s="22">
        <v>500000</v>
      </c>
      <c r="E369" s="71">
        <v>170000</v>
      </c>
      <c r="F369" s="71">
        <v>600000</v>
      </c>
      <c r="G369" s="71">
        <v>0</v>
      </c>
      <c r="H369" s="71">
        <v>0</v>
      </c>
      <c r="I369" s="80">
        <v>70000</v>
      </c>
    </row>
    <row r="370" spans="1:9" x14ac:dyDescent="0.35">
      <c r="A370" s="2">
        <v>343</v>
      </c>
      <c r="B370" s="2">
        <v>0.74200813030188584</v>
      </c>
      <c r="C370" s="2">
        <f t="shared" si="15"/>
        <v>35</v>
      </c>
      <c r="D370" s="22">
        <v>750000</v>
      </c>
      <c r="E370" s="71">
        <v>0</v>
      </c>
      <c r="F370" s="71">
        <v>600000</v>
      </c>
      <c r="G370" s="71">
        <v>125000</v>
      </c>
      <c r="H370" s="71">
        <v>110000</v>
      </c>
      <c r="I370" s="80">
        <v>165000</v>
      </c>
    </row>
    <row r="371" spans="1:9" x14ac:dyDescent="0.35">
      <c r="A371" s="2">
        <v>344</v>
      </c>
      <c r="B371" s="2">
        <v>0.34668063188163933</v>
      </c>
      <c r="C371" s="2">
        <f t="shared" si="15"/>
        <v>25</v>
      </c>
      <c r="D371" s="22">
        <v>625000</v>
      </c>
      <c r="E371" s="71">
        <v>85000</v>
      </c>
      <c r="F371" s="71">
        <v>600000</v>
      </c>
      <c r="G371" s="71">
        <v>0</v>
      </c>
      <c r="H371" s="71">
        <v>0</v>
      </c>
      <c r="I371" s="80">
        <v>110000</v>
      </c>
    </row>
    <row r="372" spans="1:9" x14ac:dyDescent="0.35">
      <c r="A372" s="2">
        <v>345</v>
      </c>
      <c r="B372" s="2">
        <v>0.53496688182691521</v>
      </c>
      <c r="C372" s="2">
        <f t="shared" si="15"/>
        <v>30</v>
      </c>
      <c r="D372" s="22">
        <v>750000</v>
      </c>
      <c r="E372" s="71">
        <v>0</v>
      </c>
      <c r="F372" s="71">
        <v>600000</v>
      </c>
      <c r="G372" s="71">
        <v>0</v>
      </c>
      <c r="H372" s="71">
        <v>0</v>
      </c>
      <c r="I372" s="80">
        <v>150000</v>
      </c>
    </row>
    <row r="373" spans="1:9" x14ac:dyDescent="0.35">
      <c r="A373" s="2">
        <v>346</v>
      </c>
      <c r="B373" s="2">
        <v>0.23146819803405094</v>
      </c>
      <c r="C373" s="2">
        <f t="shared" si="15"/>
        <v>20</v>
      </c>
      <c r="D373" s="22">
        <v>500000</v>
      </c>
      <c r="E373" s="71">
        <v>170000</v>
      </c>
      <c r="F373" s="71">
        <v>600000</v>
      </c>
      <c r="G373" s="71">
        <v>0</v>
      </c>
      <c r="H373" s="71">
        <v>0</v>
      </c>
      <c r="I373" s="80">
        <v>70000</v>
      </c>
    </row>
    <row r="374" spans="1:9" x14ac:dyDescent="0.35">
      <c r="A374" s="2">
        <v>347</v>
      </c>
      <c r="B374" s="2">
        <v>0.79371720333506302</v>
      </c>
      <c r="C374" s="2">
        <f t="shared" si="15"/>
        <v>35</v>
      </c>
      <c r="D374" s="22">
        <v>750000</v>
      </c>
      <c r="E374" s="71">
        <v>0</v>
      </c>
      <c r="F374" s="71">
        <v>600000</v>
      </c>
      <c r="G374" s="71">
        <v>125000</v>
      </c>
      <c r="H374" s="71">
        <v>110000</v>
      </c>
      <c r="I374" s="80">
        <v>165000</v>
      </c>
    </row>
    <row r="375" spans="1:9" x14ac:dyDescent="0.35">
      <c r="A375" s="2">
        <v>348</v>
      </c>
      <c r="B375" s="2">
        <v>0.78194937736832659</v>
      </c>
      <c r="C375" s="2">
        <f t="shared" si="15"/>
        <v>35</v>
      </c>
      <c r="D375" s="22">
        <v>750000</v>
      </c>
      <c r="E375" s="71">
        <v>0</v>
      </c>
      <c r="F375" s="71">
        <v>600000</v>
      </c>
      <c r="G375" s="71">
        <v>125000</v>
      </c>
      <c r="H375" s="71">
        <v>110000</v>
      </c>
      <c r="I375" s="80">
        <v>165000</v>
      </c>
    </row>
    <row r="376" spans="1:9" x14ac:dyDescent="0.35">
      <c r="A376" s="2">
        <v>349</v>
      </c>
      <c r="B376" s="2">
        <v>1.1540016566596867E-3</v>
      </c>
      <c r="C376" s="2">
        <f t="shared" si="15"/>
        <v>20</v>
      </c>
      <c r="D376" s="22">
        <v>500000</v>
      </c>
      <c r="E376" s="71">
        <v>170000</v>
      </c>
      <c r="F376" s="71">
        <v>600000</v>
      </c>
      <c r="G376" s="71">
        <v>0</v>
      </c>
      <c r="H376" s="71">
        <v>0</v>
      </c>
      <c r="I376" s="80">
        <v>70000</v>
      </c>
    </row>
    <row r="377" spans="1:9" x14ac:dyDescent="0.35">
      <c r="A377" s="2">
        <v>350</v>
      </c>
      <c r="B377" s="2">
        <v>0.32578052524365986</v>
      </c>
      <c r="C377" s="2">
        <f t="shared" si="15"/>
        <v>25</v>
      </c>
      <c r="D377" s="22">
        <v>625000</v>
      </c>
      <c r="E377" s="71">
        <v>85000</v>
      </c>
      <c r="F377" s="71">
        <v>600000</v>
      </c>
      <c r="G377" s="71">
        <v>0</v>
      </c>
      <c r="H377" s="71">
        <v>0</v>
      </c>
      <c r="I377" s="80">
        <v>110000</v>
      </c>
    </row>
    <row r="378" spans="1:9" x14ac:dyDescent="0.35">
      <c r="A378" s="2">
        <v>351</v>
      </c>
      <c r="B378" s="2">
        <v>0.70920461656169143</v>
      </c>
      <c r="C378" s="2">
        <f t="shared" si="15"/>
        <v>35</v>
      </c>
      <c r="D378" s="22">
        <v>750000</v>
      </c>
      <c r="E378" s="71">
        <v>0</v>
      </c>
      <c r="F378" s="71">
        <v>600000</v>
      </c>
      <c r="G378" s="71">
        <v>125000</v>
      </c>
      <c r="H378" s="71">
        <v>110000</v>
      </c>
      <c r="I378" s="80">
        <v>165000</v>
      </c>
    </row>
    <row r="379" spans="1:9" x14ac:dyDescent="0.35">
      <c r="A379" s="2">
        <v>352</v>
      </c>
      <c r="B379" s="2">
        <v>0.23020667056646305</v>
      </c>
      <c r="C379" s="2">
        <f t="shared" si="15"/>
        <v>20</v>
      </c>
      <c r="D379" s="22">
        <v>500000</v>
      </c>
      <c r="E379" s="71">
        <v>170000</v>
      </c>
      <c r="F379" s="71">
        <v>600000</v>
      </c>
      <c r="G379" s="71">
        <v>0</v>
      </c>
      <c r="H379" s="71">
        <v>0</v>
      </c>
      <c r="I379" s="80">
        <v>70000</v>
      </c>
    </row>
    <row r="380" spans="1:9" x14ac:dyDescent="0.35">
      <c r="A380" s="2">
        <v>353</v>
      </c>
      <c r="B380" s="2">
        <v>0.56744673147527536</v>
      </c>
      <c r="C380" s="2">
        <f t="shared" si="15"/>
        <v>30</v>
      </c>
      <c r="D380" s="22">
        <v>750000</v>
      </c>
      <c r="E380" s="71">
        <v>0</v>
      </c>
      <c r="F380" s="71">
        <v>600000</v>
      </c>
      <c r="G380" s="71">
        <v>0</v>
      </c>
      <c r="H380" s="71">
        <v>0</v>
      </c>
      <c r="I380" s="80">
        <v>150000</v>
      </c>
    </row>
    <row r="381" spans="1:9" x14ac:dyDescent="0.35">
      <c r="A381" s="2">
        <v>354</v>
      </c>
      <c r="B381" s="2">
        <v>0.88250520703012203</v>
      </c>
      <c r="C381" s="2">
        <f t="shared" si="15"/>
        <v>40</v>
      </c>
      <c r="D381" s="22">
        <v>750000</v>
      </c>
      <c r="E381" s="71">
        <v>0</v>
      </c>
      <c r="F381" s="71">
        <v>600000</v>
      </c>
      <c r="G381" s="71">
        <v>250000</v>
      </c>
      <c r="H381" s="71">
        <v>220000</v>
      </c>
      <c r="I381" s="80">
        <v>180000</v>
      </c>
    </row>
    <row r="382" spans="1:9" x14ac:dyDescent="0.35">
      <c r="A382" s="2">
        <v>355</v>
      </c>
      <c r="B382" s="2">
        <v>0.44583627875906884</v>
      </c>
      <c r="C382" s="2">
        <f t="shared" si="15"/>
        <v>25</v>
      </c>
      <c r="D382" s="22">
        <v>625000</v>
      </c>
      <c r="E382" s="71">
        <v>85000</v>
      </c>
      <c r="F382" s="71">
        <v>600000</v>
      </c>
      <c r="G382" s="71">
        <v>0</v>
      </c>
      <c r="H382" s="71">
        <v>0</v>
      </c>
      <c r="I382" s="80">
        <v>110000</v>
      </c>
    </row>
    <row r="383" spans="1:9" x14ac:dyDescent="0.35">
      <c r="A383" s="2">
        <v>356</v>
      </c>
      <c r="B383" s="2">
        <v>3.6106127601944538E-2</v>
      </c>
      <c r="C383" s="2">
        <f t="shared" si="15"/>
        <v>20</v>
      </c>
      <c r="D383" s="22">
        <v>500000</v>
      </c>
      <c r="E383" s="71">
        <v>170000</v>
      </c>
      <c r="F383" s="71">
        <v>600000</v>
      </c>
      <c r="G383" s="71">
        <v>0</v>
      </c>
      <c r="H383" s="71">
        <v>0</v>
      </c>
      <c r="I383" s="80">
        <v>70000</v>
      </c>
    </row>
    <row r="384" spans="1:9" x14ac:dyDescent="0.35">
      <c r="A384" s="2">
        <v>357</v>
      </c>
      <c r="B384" s="2">
        <v>0.70517959610779091</v>
      </c>
      <c r="C384" s="2">
        <f t="shared" si="15"/>
        <v>35</v>
      </c>
      <c r="D384" s="22">
        <v>750000</v>
      </c>
      <c r="E384" s="71">
        <v>0</v>
      </c>
      <c r="F384" s="71">
        <v>600000</v>
      </c>
      <c r="G384" s="71">
        <v>125000</v>
      </c>
      <c r="H384" s="71">
        <v>110000</v>
      </c>
      <c r="I384" s="80">
        <v>165000</v>
      </c>
    </row>
    <row r="385" spans="1:9" x14ac:dyDescent="0.35">
      <c r="A385" s="2">
        <v>358</v>
      </c>
      <c r="B385" s="2">
        <v>6.2140999528974561E-3</v>
      </c>
      <c r="C385" s="2">
        <f t="shared" si="15"/>
        <v>20</v>
      </c>
      <c r="D385" s="22">
        <v>500000</v>
      </c>
      <c r="E385" s="71">
        <v>170000</v>
      </c>
      <c r="F385" s="71">
        <v>600000</v>
      </c>
      <c r="G385" s="71">
        <v>0</v>
      </c>
      <c r="H385" s="71">
        <v>0</v>
      </c>
      <c r="I385" s="80">
        <v>70000</v>
      </c>
    </row>
    <row r="386" spans="1:9" x14ac:dyDescent="0.35">
      <c r="A386" s="2">
        <v>359</v>
      </c>
      <c r="B386" s="2">
        <v>0.45442543077974162</v>
      </c>
      <c r="C386" s="2">
        <f t="shared" si="15"/>
        <v>30</v>
      </c>
      <c r="D386" s="22">
        <v>750000</v>
      </c>
      <c r="E386" s="71">
        <v>0</v>
      </c>
      <c r="F386" s="71">
        <v>600000</v>
      </c>
      <c r="G386" s="71">
        <v>0</v>
      </c>
      <c r="H386" s="71">
        <v>0</v>
      </c>
      <c r="I386" s="80">
        <v>150000</v>
      </c>
    </row>
    <row r="387" spans="1:9" x14ac:dyDescent="0.35">
      <c r="A387" s="2">
        <v>360</v>
      </c>
      <c r="B387" s="2">
        <v>0.87233421630950647</v>
      </c>
      <c r="C387" s="2">
        <f t="shared" si="15"/>
        <v>40</v>
      </c>
      <c r="D387" s="22">
        <v>750000</v>
      </c>
      <c r="E387" s="71">
        <v>0</v>
      </c>
      <c r="F387" s="71">
        <v>600000</v>
      </c>
      <c r="G387" s="71">
        <v>250000</v>
      </c>
      <c r="H387" s="71">
        <v>220000</v>
      </c>
      <c r="I387" s="80">
        <v>180000</v>
      </c>
    </row>
    <row r="388" spans="1:9" x14ac:dyDescent="0.35">
      <c r="A388" s="2">
        <v>361</v>
      </c>
      <c r="B388" s="2">
        <v>0.89558702960084235</v>
      </c>
      <c r="C388" s="2">
        <f t="shared" si="15"/>
        <v>40</v>
      </c>
      <c r="D388" s="22">
        <v>750000</v>
      </c>
      <c r="E388" s="71">
        <v>0</v>
      </c>
      <c r="F388" s="71">
        <v>600000</v>
      </c>
      <c r="G388" s="71">
        <v>250000</v>
      </c>
      <c r="H388" s="71">
        <v>220000</v>
      </c>
      <c r="I388" s="80">
        <v>180000</v>
      </c>
    </row>
    <row r="389" spans="1:9" x14ac:dyDescent="0.35">
      <c r="A389" s="2">
        <v>362</v>
      </c>
      <c r="B389" s="2">
        <v>0.67758668162970137</v>
      </c>
      <c r="C389" s="2">
        <f t="shared" si="15"/>
        <v>35</v>
      </c>
      <c r="D389" s="22">
        <v>750000</v>
      </c>
      <c r="E389" s="71">
        <v>0</v>
      </c>
      <c r="F389" s="71">
        <v>600000</v>
      </c>
      <c r="G389" s="71">
        <v>125000</v>
      </c>
      <c r="H389" s="71">
        <v>110000</v>
      </c>
      <c r="I389" s="80">
        <v>165000</v>
      </c>
    </row>
    <row r="390" spans="1:9" x14ac:dyDescent="0.35">
      <c r="A390" s="2">
        <v>363</v>
      </c>
      <c r="B390" s="2">
        <v>0.15402757238346843</v>
      </c>
      <c r="C390" s="2">
        <f t="shared" si="15"/>
        <v>20</v>
      </c>
      <c r="D390" s="22">
        <v>500000</v>
      </c>
      <c r="E390" s="71">
        <v>170000</v>
      </c>
      <c r="F390" s="71">
        <v>600000</v>
      </c>
      <c r="G390" s="71">
        <v>0</v>
      </c>
      <c r="H390" s="71">
        <v>0</v>
      </c>
      <c r="I390" s="80">
        <v>70000</v>
      </c>
    </row>
    <row r="391" spans="1:9" x14ac:dyDescent="0.35">
      <c r="A391" s="2">
        <v>364</v>
      </c>
      <c r="B391" s="2">
        <v>0.79693076439821242</v>
      </c>
      <c r="C391" s="2">
        <f t="shared" si="15"/>
        <v>35</v>
      </c>
      <c r="D391" s="22">
        <v>750000</v>
      </c>
      <c r="E391" s="71">
        <v>0</v>
      </c>
      <c r="F391" s="71">
        <v>600000</v>
      </c>
      <c r="G391" s="71">
        <v>125000</v>
      </c>
      <c r="H391" s="71">
        <v>110000</v>
      </c>
      <c r="I391" s="80">
        <v>165000</v>
      </c>
    </row>
    <row r="392" spans="1:9" x14ac:dyDescent="0.35">
      <c r="A392" s="2">
        <v>365</v>
      </c>
      <c r="B392" s="2">
        <v>0.92849732355949188</v>
      </c>
      <c r="C392" s="2">
        <f t="shared" si="15"/>
        <v>40</v>
      </c>
      <c r="D392" s="22">
        <v>750000</v>
      </c>
      <c r="E392" s="71">
        <v>0</v>
      </c>
      <c r="F392" s="71">
        <v>600000</v>
      </c>
      <c r="G392" s="71">
        <v>250000</v>
      </c>
      <c r="H392" s="71">
        <v>220000</v>
      </c>
      <c r="I392" s="80">
        <v>180000</v>
      </c>
    </row>
    <row r="393" spans="1:9" x14ac:dyDescent="0.35">
      <c r="A393" s="2">
        <v>366</v>
      </c>
      <c r="B393" s="2">
        <v>0.8327731667092283</v>
      </c>
      <c r="C393" s="2">
        <f t="shared" si="15"/>
        <v>40</v>
      </c>
      <c r="D393" s="22">
        <v>750000</v>
      </c>
      <c r="E393" s="71">
        <v>0</v>
      </c>
      <c r="F393" s="71">
        <v>600000</v>
      </c>
      <c r="G393" s="71">
        <v>250000</v>
      </c>
      <c r="H393" s="71">
        <v>220000</v>
      </c>
      <c r="I393" s="80">
        <v>180000</v>
      </c>
    </row>
    <row r="394" spans="1:9" x14ac:dyDescent="0.35">
      <c r="A394" s="2">
        <v>367</v>
      </c>
      <c r="B394" s="2">
        <v>6.6379342662298502E-2</v>
      </c>
      <c r="C394" s="2">
        <f t="shared" si="15"/>
        <v>20</v>
      </c>
      <c r="D394" s="22">
        <v>500000</v>
      </c>
      <c r="E394" s="71">
        <v>170000</v>
      </c>
      <c r="F394" s="71">
        <v>600000</v>
      </c>
      <c r="G394" s="71">
        <v>0</v>
      </c>
      <c r="H394" s="71">
        <v>0</v>
      </c>
      <c r="I394" s="80">
        <v>70000</v>
      </c>
    </row>
    <row r="395" spans="1:9" x14ac:dyDescent="0.35">
      <c r="A395" s="2">
        <v>368</v>
      </c>
      <c r="B395" s="2">
        <v>0.99889604015658628</v>
      </c>
      <c r="C395" s="2">
        <f t="shared" si="15"/>
        <v>40</v>
      </c>
      <c r="D395" s="22">
        <v>750000</v>
      </c>
      <c r="E395" s="71">
        <v>0</v>
      </c>
      <c r="F395" s="71">
        <v>600000</v>
      </c>
      <c r="G395" s="71">
        <v>250000</v>
      </c>
      <c r="H395" s="71">
        <v>220000</v>
      </c>
      <c r="I395" s="80">
        <v>180000</v>
      </c>
    </row>
    <row r="396" spans="1:9" x14ac:dyDescent="0.35">
      <c r="A396" s="2">
        <v>369</v>
      </c>
      <c r="B396" s="2">
        <v>0.60373119604291414</v>
      </c>
      <c r="C396" s="2">
        <f t="shared" si="15"/>
        <v>35</v>
      </c>
      <c r="D396" s="22">
        <v>750000</v>
      </c>
      <c r="E396" s="71">
        <v>0</v>
      </c>
      <c r="F396" s="71">
        <v>600000</v>
      </c>
      <c r="G396" s="71">
        <v>125000</v>
      </c>
      <c r="H396" s="71">
        <v>110000</v>
      </c>
      <c r="I396" s="80">
        <v>165000</v>
      </c>
    </row>
    <row r="397" spans="1:9" x14ac:dyDescent="0.35">
      <c r="A397" s="2">
        <v>370</v>
      </c>
      <c r="B397" s="2">
        <v>0.3965133171869315</v>
      </c>
      <c r="C397" s="2">
        <f t="shared" si="15"/>
        <v>25</v>
      </c>
      <c r="D397" s="22">
        <v>625000</v>
      </c>
      <c r="E397" s="71">
        <v>85000</v>
      </c>
      <c r="F397" s="71">
        <v>600000</v>
      </c>
      <c r="G397" s="71">
        <v>0</v>
      </c>
      <c r="H397" s="71">
        <v>0</v>
      </c>
      <c r="I397" s="80">
        <v>110000</v>
      </c>
    </row>
    <row r="398" spans="1:9" x14ac:dyDescent="0.35">
      <c r="A398" s="2">
        <v>371</v>
      </c>
      <c r="B398" s="2">
        <v>0.18479104231883381</v>
      </c>
      <c r="C398" s="2">
        <f t="shared" si="15"/>
        <v>20</v>
      </c>
      <c r="D398" s="22">
        <v>500000</v>
      </c>
      <c r="E398" s="71">
        <v>170000</v>
      </c>
      <c r="F398" s="71">
        <v>600000</v>
      </c>
      <c r="G398" s="71">
        <v>0</v>
      </c>
      <c r="H398" s="71">
        <v>0</v>
      </c>
      <c r="I398" s="80">
        <v>70000</v>
      </c>
    </row>
    <row r="399" spans="1:9" x14ac:dyDescent="0.35">
      <c r="A399" s="2">
        <v>372</v>
      </c>
      <c r="B399" s="2">
        <v>0.55372319060952846</v>
      </c>
      <c r="C399" s="2">
        <f t="shared" si="15"/>
        <v>30</v>
      </c>
      <c r="D399" s="22">
        <v>750000</v>
      </c>
      <c r="E399" s="71">
        <v>0</v>
      </c>
      <c r="F399" s="71">
        <v>600000</v>
      </c>
      <c r="G399" s="71">
        <v>0</v>
      </c>
      <c r="H399" s="71">
        <v>0</v>
      </c>
      <c r="I399" s="80">
        <v>150000</v>
      </c>
    </row>
    <row r="400" spans="1:9" x14ac:dyDescent="0.35">
      <c r="A400" s="2">
        <v>373</v>
      </c>
      <c r="B400" s="2">
        <v>4.8636007816411198E-2</v>
      </c>
      <c r="C400" s="2">
        <f t="shared" si="15"/>
        <v>20</v>
      </c>
      <c r="D400" s="22">
        <v>500000</v>
      </c>
      <c r="E400" s="71">
        <v>170000</v>
      </c>
      <c r="F400" s="71">
        <v>600000</v>
      </c>
      <c r="G400" s="71">
        <v>0</v>
      </c>
      <c r="H400" s="71">
        <v>0</v>
      </c>
      <c r="I400" s="80">
        <v>70000</v>
      </c>
    </row>
    <row r="401" spans="1:9" x14ac:dyDescent="0.35">
      <c r="A401" s="2">
        <v>374</v>
      </c>
      <c r="B401" s="2">
        <v>0.89329565060080796</v>
      </c>
      <c r="C401" s="2">
        <f t="shared" si="15"/>
        <v>40</v>
      </c>
      <c r="D401" s="22">
        <v>750000</v>
      </c>
      <c r="E401" s="71">
        <v>0</v>
      </c>
      <c r="F401" s="71">
        <v>600000</v>
      </c>
      <c r="G401" s="71">
        <v>250000</v>
      </c>
      <c r="H401" s="71">
        <v>220000</v>
      </c>
      <c r="I401" s="80">
        <v>180000</v>
      </c>
    </row>
    <row r="402" spans="1:9" x14ac:dyDescent="0.35">
      <c r="A402" s="2">
        <v>375</v>
      </c>
      <c r="B402" s="2">
        <v>0.11954983580214651</v>
      </c>
      <c r="C402" s="2">
        <f t="shared" si="15"/>
        <v>20</v>
      </c>
      <c r="D402" s="22">
        <v>500000</v>
      </c>
      <c r="E402" s="71">
        <v>170000</v>
      </c>
      <c r="F402" s="71">
        <v>600000</v>
      </c>
      <c r="G402" s="71">
        <v>0</v>
      </c>
      <c r="H402" s="71">
        <v>0</v>
      </c>
      <c r="I402" s="80">
        <v>70000</v>
      </c>
    </row>
    <row r="403" spans="1:9" x14ac:dyDescent="0.35">
      <c r="A403" s="2">
        <v>376</v>
      </c>
      <c r="B403" s="2">
        <v>0.73802947979618061</v>
      </c>
      <c r="C403" s="2">
        <f t="shared" si="15"/>
        <v>35</v>
      </c>
      <c r="D403" s="22">
        <v>750000</v>
      </c>
      <c r="E403" s="71">
        <v>0</v>
      </c>
      <c r="F403" s="71">
        <v>600000</v>
      </c>
      <c r="G403" s="71">
        <v>125000</v>
      </c>
      <c r="H403" s="71">
        <v>110000</v>
      </c>
      <c r="I403" s="80">
        <v>165000</v>
      </c>
    </row>
    <row r="404" spans="1:9" x14ac:dyDescent="0.35">
      <c r="A404" s="2">
        <v>377</v>
      </c>
      <c r="B404" s="2">
        <v>0.13106138018359237</v>
      </c>
      <c r="C404" s="2">
        <f t="shared" si="15"/>
        <v>20</v>
      </c>
      <c r="D404" s="22">
        <v>500000</v>
      </c>
      <c r="E404" s="71">
        <v>170000</v>
      </c>
      <c r="F404" s="71">
        <v>600000</v>
      </c>
      <c r="G404" s="71">
        <v>0</v>
      </c>
      <c r="H404" s="71">
        <v>0</v>
      </c>
      <c r="I404" s="80">
        <v>70000</v>
      </c>
    </row>
    <row r="405" spans="1:9" x14ac:dyDescent="0.35">
      <c r="A405" s="2">
        <v>378</v>
      </c>
      <c r="B405" s="2">
        <v>0.38103585498454884</v>
      </c>
      <c r="C405" s="2">
        <f t="shared" si="15"/>
        <v>25</v>
      </c>
      <c r="D405" s="22">
        <v>625000</v>
      </c>
      <c r="E405" s="71">
        <v>85000</v>
      </c>
      <c r="F405" s="71">
        <v>600000</v>
      </c>
      <c r="G405" s="71">
        <v>0</v>
      </c>
      <c r="H405" s="71">
        <v>0</v>
      </c>
      <c r="I405" s="80">
        <v>110000</v>
      </c>
    </row>
    <row r="406" spans="1:9" x14ac:dyDescent="0.35">
      <c r="A406" s="2">
        <v>379</v>
      </c>
      <c r="B406" s="2">
        <v>0.58011520867342492</v>
      </c>
      <c r="C406" s="2">
        <f t="shared" si="15"/>
        <v>30</v>
      </c>
      <c r="D406" s="22">
        <v>750000</v>
      </c>
      <c r="E406" s="71">
        <v>0</v>
      </c>
      <c r="F406" s="71">
        <v>600000</v>
      </c>
      <c r="G406" s="71">
        <v>0</v>
      </c>
      <c r="H406" s="71">
        <v>0</v>
      </c>
      <c r="I406" s="80">
        <v>150000</v>
      </c>
    </row>
    <row r="407" spans="1:9" x14ac:dyDescent="0.35">
      <c r="A407" s="2">
        <v>380</v>
      </c>
      <c r="B407" s="2">
        <v>0.54690332685147602</v>
      </c>
      <c r="C407" s="2">
        <f t="shared" si="15"/>
        <v>30</v>
      </c>
      <c r="D407" s="22">
        <v>750000</v>
      </c>
      <c r="E407" s="71">
        <v>0</v>
      </c>
      <c r="F407" s="71">
        <v>600000</v>
      </c>
      <c r="G407" s="71">
        <v>0</v>
      </c>
      <c r="H407" s="71">
        <v>0</v>
      </c>
      <c r="I407" s="80">
        <v>150000</v>
      </c>
    </row>
    <row r="408" spans="1:9" x14ac:dyDescent="0.35">
      <c r="A408" s="2">
        <v>381</v>
      </c>
      <c r="B408" s="2">
        <v>4.4796995084458335E-2</v>
      </c>
      <c r="C408" s="2">
        <f t="shared" si="15"/>
        <v>20</v>
      </c>
      <c r="D408" s="22">
        <v>500000</v>
      </c>
      <c r="E408" s="71">
        <v>170000</v>
      </c>
      <c r="F408" s="71">
        <v>600000</v>
      </c>
      <c r="G408" s="71">
        <v>0</v>
      </c>
      <c r="H408" s="71">
        <v>0</v>
      </c>
      <c r="I408" s="80">
        <v>70000</v>
      </c>
    </row>
    <row r="409" spans="1:9" x14ac:dyDescent="0.35">
      <c r="A409" s="2">
        <v>382</v>
      </c>
      <c r="B409" s="2">
        <v>0.1477064555794575</v>
      </c>
      <c r="C409" s="2">
        <f t="shared" si="15"/>
        <v>20</v>
      </c>
      <c r="D409" s="22">
        <v>500000</v>
      </c>
      <c r="E409" s="71">
        <v>170000</v>
      </c>
      <c r="F409" s="71">
        <v>600000</v>
      </c>
      <c r="G409" s="71">
        <v>0</v>
      </c>
      <c r="H409" s="71">
        <v>0</v>
      </c>
      <c r="I409" s="80">
        <v>70000</v>
      </c>
    </row>
    <row r="410" spans="1:9" x14ac:dyDescent="0.35">
      <c r="A410" s="2">
        <v>383</v>
      </c>
      <c r="B410" s="2">
        <v>0.69914813873694925</v>
      </c>
      <c r="C410" s="2">
        <f t="shared" si="15"/>
        <v>35</v>
      </c>
      <c r="D410" s="22">
        <v>750000</v>
      </c>
      <c r="E410" s="71">
        <v>0</v>
      </c>
      <c r="F410" s="71">
        <v>600000</v>
      </c>
      <c r="G410" s="71">
        <v>125000</v>
      </c>
      <c r="H410" s="71">
        <v>110000</v>
      </c>
      <c r="I410" s="80">
        <v>165000</v>
      </c>
    </row>
    <row r="411" spans="1:9" x14ac:dyDescent="0.35">
      <c r="A411" s="2">
        <v>384</v>
      </c>
      <c r="B411" s="2">
        <v>0.90646210423535767</v>
      </c>
      <c r="C411" s="2">
        <f t="shared" si="15"/>
        <v>40</v>
      </c>
      <c r="D411" s="22">
        <v>750000</v>
      </c>
      <c r="E411" s="71">
        <v>0</v>
      </c>
      <c r="F411" s="71">
        <v>600000</v>
      </c>
      <c r="G411" s="71">
        <v>250000</v>
      </c>
      <c r="H411" s="71">
        <v>220000</v>
      </c>
      <c r="I411" s="80">
        <v>180000</v>
      </c>
    </row>
    <row r="412" spans="1:9" x14ac:dyDescent="0.35">
      <c r="A412" s="2">
        <v>385</v>
      </c>
      <c r="B412" s="2">
        <v>0.63454901619933135</v>
      </c>
      <c r="C412" s="2">
        <f t="shared" si="15"/>
        <v>35</v>
      </c>
      <c r="D412" s="22">
        <v>750000</v>
      </c>
      <c r="E412" s="71">
        <v>0</v>
      </c>
      <c r="F412" s="71">
        <v>600000</v>
      </c>
      <c r="G412" s="71">
        <v>125000</v>
      </c>
      <c r="H412" s="71">
        <v>110000</v>
      </c>
      <c r="I412" s="80">
        <v>165000</v>
      </c>
    </row>
    <row r="413" spans="1:9" x14ac:dyDescent="0.35">
      <c r="A413" s="2">
        <v>386</v>
      </c>
      <c r="B413" s="2">
        <v>0.65946616616803277</v>
      </c>
      <c r="C413" s="2">
        <f t="shared" ref="C413:C476" si="16">VLOOKUP(B413,$D$5:$F$10,2,TRUE)</f>
        <v>35</v>
      </c>
      <c r="D413" s="22">
        <v>750000</v>
      </c>
      <c r="E413" s="71">
        <v>0</v>
      </c>
      <c r="F413" s="71">
        <v>600000</v>
      </c>
      <c r="G413" s="71">
        <v>125000</v>
      </c>
      <c r="H413" s="71">
        <v>110000</v>
      </c>
      <c r="I413" s="80">
        <v>165000</v>
      </c>
    </row>
    <row r="414" spans="1:9" x14ac:dyDescent="0.35">
      <c r="A414" s="2">
        <v>387</v>
      </c>
      <c r="B414" s="2">
        <v>0.54035678817475064</v>
      </c>
      <c r="C414" s="2">
        <f t="shared" si="16"/>
        <v>30</v>
      </c>
      <c r="D414" s="22">
        <v>750000</v>
      </c>
      <c r="E414" s="71">
        <v>0</v>
      </c>
      <c r="F414" s="71">
        <v>600000</v>
      </c>
      <c r="G414" s="71">
        <v>0</v>
      </c>
      <c r="H414" s="71">
        <v>0</v>
      </c>
      <c r="I414" s="80">
        <v>150000</v>
      </c>
    </row>
    <row r="415" spans="1:9" x14ac:dyDescent="0.35">
      <c r="A415" s="2">
        <v>388</v>
      </c>
      <c r="B415" s="2">
        <v>0.91543949143515391</v>
      </c>
      <c r="C415" s="2">
        <f t="shared" si="16"/>
        <v>40</v>
      </c>
      <c r="D415" s="22">
        <v>750000</v>
      </c>
      <c r="E415" s="71">
        <v>0</v>
      </c>
      <c r="F415" s="71">
        <v>600000</v>
      </c>
      <c r="G415" s="71">
        <v>250000</v>
      </c>
      <c r="H415" s="71">
        <v>220000</v>
      </c>
      <c r="I415" s="80">
        <v>180000</v>
      </c>
    </row>
    <row r="416" spans="1:9" x14ac:dyDescent="0.35">
      <c r="A416" s="2">
        <v>389</v>
      </c>
      <c r="B416" s="2">
        <v>0.94550760139685808</v>
      </c>
      <c r="C416" s="2">
        <f t="shared" si="16"/>
        <v>40</v>
      </c>
      <c r="D416" s="22">
        <v>750000</v>
      </c>
      <c r="E416" s="71">
        <v>0</v>
      </c>
      <c r="F416" s="71">
        <v>600000</v>
      </c>
      <c r="G416" s="71">
        <v>250000</v>
      </c>
      <c r="H416" s="71">
        <v>220000</v>
      </c>
      <c r="I416" s="80">
        <v>180000</v>
      </c>
    </row>
    <row r="417" spans="1:9" x14ac:dyDescent="0.35">
      <c r="A417" s="2">
        <v>390</v>
      </c>
      <c r="B417" s="2">
        <v>0.82401666107683758</v>
      </c>
      <c r="C417" s="2">
        <f t="shared" si="16"/>
        <v>40</v>
      </c>
      <c r="D417" s="22">
        <v>750000</v>
      </c>
      <c r="E417" s="71">
        <v>0</v>
      </c>
      <c r="F417" s="71">
        <v>600000</v>
      </c>
      <c r="G417" s="71">
        <v>250000</v>
      </c>
      <c r="H417" s="71">
        <v>220000</v>
      </c>
      <c r="I417" s="80">
        <v>180000</v>
      </c>
    </row>
    <row r="418" spans="1:9" x14ac:dyDescent="0.35">
      <c r="A418" s="2">
        <v>391</v>
      </c>
      <c r="B418" s="2">
        <v>0.52578241400279402</v>
      </c>
      <c r="C418" s="2">
        <f t="shared" si="16"/>
        <v>30</v>
      </c>
      <c r="D418" s="22">
        <v>750000</v>
      </c>
      <c r="E418" s="71">
        <v>0</v>
      </c>
      <c r="F418" s="71">
        <v>600000</v>
      </c>
      <c r="G418" s="71">
        <v>0</v>
      </c>
      <c r="H418" s="71">
        <v>0</v>
      </c>
      <c r="I418" s="80">
        <v>150000</v>
      </c>
    </row>
    <row r="419" spans="1:9" x14ac:dyDescent="0.35">
      <c r="A419" s="2">
        <v>392</v>
      </c>
      <c r="B419" s="2">
        <v>2.0114805804478664E-2</v>
      </c>
      <c r="C419" s="2">
        <f t="shared" si="16"/>
        <v>20</v>
      </c>
      <c r="D419" s="22">
        <v>500000</v>
      </c>
      <c r="E419" s="71">
        <v>170000</v>
      </c>
      <c r="F419" s="71">
        <v>600000</v>
      </c>
      <c r="G419" s="71">
        <v>0</v>
      </c>
      <c r="H419" s="71">
        <v>0</v>
      </c>
      <c r="I419" s="80">
        <v>70000</v>
      </c>
    </row>
    <row r="420" spans="1:9" x14ac:dyDescent="0.35">
      <c r="A420" s="2">
        <v>393</v>
      </c>
      <c r="B420" s="2">
        <v>0.50590941848367588</v>
      </c>
      <c r="C420" s="2">
        <f t="shared" si="16"/>
        <v>30</v>
      </c>
      <c r="D420" s="22">
        <v>750000</v>
      </c>
      <c r="E420" s="71">
        <v>0</v>
      </c>
      <c r="F420" s="71">
        <v>600000</v>
      </c>
      <c r="G420" s="71">
        <v>0</v>
      </c>
      <c r="H420" s="71">
        <v>0</v>
      </c>
      <c r="I420" s="80">
        <v>150000</v>
      </c>
    </row>
    <row r="421" spans="1:9" x14ac:dyDescent="0.35">
      <c r="A421" s="2">
        <v>394</v>
      </c>
      <c r="B421" s="2">
        <v>0.77753041020168667</v>
      </c>
      <c r="C421" s="2">
        <f t="shared" si="16"/>
        <v>35</v>
      </c>
      <c r="D421" s="22">
        <v>750000</v>
      </c>
      <c r="E421" s="71">
        <v>0</v>
      </c>
      <c r="F421" s="71">
        <v>600000</v>
      </c>
      <c r="G421" s="71">
        <v>125000</v>
      </c>
      <c r="H421" s="71">
        <v>110000</v>
      </c>
      <c r="I421" s="80">
        <v>165000</v>
      </c>
    </row>
    <row r="422" spans="1:9" x14ac:dyDescent="0.35">
      <c r="A422" s="2">
        <v>395</v>
      </c>
      <c r="B422" s="2">
        <v>0.37011912286844861</v>
      </c>
      <c r="C422" s="2">
        <f t="shared" si="16"/>
        <v>25</v>
      </c>
      <c r="D422" s="22">
        <v>625000</v>
      </c>
      <c r="E422" s="71">
        <v>85000</v>
      </c>
      <c r="F422" s="71">
        <v>600000</v>
      </c>
      <c r="G422" s="71">
        <v>0</v>
      </c>
      <c r="H422" s="71">
        <v>0</v>
      </c>
      <c r="I422" s="80">
        <v>110000</v>
      </c>
    </row>
    <row r="423" spans="1:9" x14ac:dyDescent="0.35">
      <c r="A423" s="2">
        <v>396</v>
      </c>
      <c r="B423" s="2">
        <v>0.65363313793314981</v>
      </c>
      <c r="C423" s="2">
        <f t="shared" si="16"/>
        <v>35</v>
      </c>
      <c r="D423" s="22">
        <v>750000</v>
      </c>
      <c r="E423" s="71">
        <v>0</v>
      </c>
      <c r="F423" s="71">
        <v>600000</v>
      </c>
      <c r="G423" s="71">
        <v>125000</v>
      </c>
      <c r="H423" s="71">
        <v>110000</v>
      </c>
      <c r="I423" s="80">
        <v>165000</v>
      </c>
    </row>
    <row r="424" spans="1:9" x14ac:dyDescent="0.35">
      <c r="A424" s="2">
        <v>397</v>
      </c>
      <c r="B424" s="2">
        <v>0.77617087460858758</v>
      </c>
      <c r="C424" s="2">
        <f t="shared" si="16"/>
        <v>35</v>
      </c>
      <c r="D424" s="22">
        <v>750000</v>
      </c>
      <c r="E424" s="71">
        <v>0</v>
      </c>
      <c r="F424" s="71">
        <v>600000</v>
      </c>
      <c r="G424" s="71">
        <v>125000</v>
      </c>
      <c r="H424" s="71">
        <v>110000</v>
      </c>
      <c r="I424" s="80">
        <v>165000</v>
      </c>
    </row>
    <row r="425" spans="1:9" x14ac:dyDescent="0.35">
      <c r="A425" s="2">
        <v>398</v>
      </c>
      <c r="B425" s="2">
        <v>0.65591252094475483</v>
      </c>
      <c r="C425" s="2">
        <f t="shared" si="16"/>
        <v>35</v>
      </c>
      <c r="D425" s="22">
        <v>750000</v>
      </c>
      <c r="E425" s="71">
        <v>0</v>
      </c>
      <c r="F425" s="71">
        <v>600000</v>
      </c>
      <c r="G425" s="71">
        <v>125000</v>
      </c>
      <c r="H425" s="71">
        <v>110000</v>
      </c>
      <c r="I425" s="80">
        <v>165000</v>
      </c>
    </row>
    <row r="426" spans="1:9" x14ac:dyDescent="0.35">
      <c r="A426" s="2">
        <v>399</v>
      </c>
      <c r="B426" s="2">
        <v>0.35234995560442606</v>
      </c>
      <c r="C426" s="2">
        <f t="shared" si="16"/>
        <v>25</v>
      </c>
      <c r="D426" s="22">
        <v>625000</v>
      </c>
      <c r="E426" s="71">
        <v>85000</v>
      </c>
      <c r="F426" s="71">
        <v>600000</v>
      </c>
      <c r="G426" s="71">
        <v>0</v>
      </c>
      <c r="H426" s="71">
        <v>0</v>
      </c>
      <c r="I426" s="80">
        <v>110000</v>
      </c>
    </row>
    <row r="427" spans="1:9" x14ac:dyDescent="0.35">
      <c r="A427" s="2">
        <v>400</v>
      </c>
      <c r="B427" s="2">
        <v>0.51681869865072672</v>
      </c>
      <c r="C427" s="2">
        <f t="shared" si="16"/>
        <v>30</v>
      </c>
      <c r="D427" s="22">
        <v>750000</v>
      </c>
      <c r="E427" s="71">
        <v>0</v>
      </c>
      <c r="F427" s="71">
        <v>600000</v>
      </c>
      <c r="G427" s="71">
        <v>0</v>
      </c>
      <c r="H427" s="71">
        <v>0</v>
      </c>
      <c r="I427" s="80">
        <v>150000</v>
      </c>
    </row>
    <row r="428" spans="1:9" x14ac:dyDescent="0.35">
      <c r="A428" s="2">
        <v>401</v>
      </c>
      <c r="B428" s="2">
        <v>0.96752065199269632</v>
      </c>
      <c r="C428" s="2">
        <f t="shared" si="16"/>
        <v>40</v>
      </c>
      <c r="D428" s="22">
        <v>750000</v>
      </c>
      <c r="E428" s="71">
        <v>0</v>
      </c>
      <c r="F428" s="71">
        <v>600000</v>
      </c>
      <c r="G428" s="71">
        <v>250000</v>
      </c>
      <c r="H428" s="71">
        <v>220000</v>
      </c>
      <c r="I428" s="80">
        <v>180000</v>
      </c>
    </row>
    <row r="429" spans="1:9" x14ac:dyDescent="0.35">
      <c r="A429" s="2">
        <v>402</v>
      </c>
      <c r="B429" s="2">
        <v>0.58893696449020949</v>
      </c>
      <c r="C429" s="2">
        <f t="shared" si="16"/>
        <v>30</v>
      </c>
      <c r="D429" s="22">
        <v>750000</v>
      </c>
      <c r="E429" s="71">
        <v>0</v>
      </c>
      <c r="F429" s="71">
        <v>600000</v>
      </c>
      <c r="G429" s="71">
        <v>0</v>
      </c>
      <c r="H429" s="71">
        <v>0</v>
      </c>
      <c r="I429" s="80">
        <v>150000</v>
      </c>
    </row>
    <row r="430" spans="1:9" x14ac:dyDescent="0.35">
      <c r="A430" s="2">
        <v>403</v>
      </c>
      <c r="B430" s="2">
        <v>0.60219713550372234</v>
      </c>
      <c r="C430" s="2">
        <f t="shared" si="16"/>
        <v>35</v>
      </c>
      <c r="D430" s="22">
        <v>750000</v>
      </c>
      <c r="E430" s="71">
        <v>0</v>
      </c>
      <c r="F430" s="71">
        <v>600000</v>
      </c>
      <c r="G430" s="71">
        <v>125000</v>
      </c>
      <c r="H430" s="71">
        <v>110000</v>
      </c>
      <c r="I430" s="80">
        <v>165000</v>
      </c>
    </row>
    <row r="431" spans="1:9" x14ac:dyDescent="0.35">
      <c r="A431" s="2">
        <v>404</v>
      </c>
      <c r="B431" s="2">
        <v>7.9530246493624057E-2</v>
      </c>
      <c r="C431" s="2">
        <f t="shared" si="16"/>
        <v>20</v>
      </c>
      <c r="D431" s="22">
        <v>500000</v>
      </c>
      <c r="E431" s="71">
        <v>170000</v>
      </c>
      <c r="F431" s="71">
        <v>600000</v>
      </c>
      <c r="G431" s="71">
        <v>0</v>
      </c>
      <c r="H431" s="71">
        <v>0</v>
      </c>
      <c r="I431" s="80">
        <v>70000</v>
      </c>
    </row>
    <row r="432" spans="1:9" x14ac:dyDescent="0.35">
      <c r="A432" s="2">
        <v>405</v>
      </c>
      <c r="B432" s="2">
        <v>0.50655767193530088</v>
      </c>
      <c r="C432" s="2">
        <f t="shared" si="16"/>
        <v>30</v>
      </c>
      <c r="D432" s="22">
        <v>750000</v>
      </c>
      <c r="E432" s="71">
        <v>0</v>
      </c>
      <c r="F432" s="71">
        <v>600000</v>
      </c>
      <c r="G432" s="71">
        <v>0</v>
      </c>
      <c r="H432" s="71">
        <v>0</v>
      </c>
      <c r="I432" s="80">
        <v>150000</v>
      </c>
    </row>
    <row r="433" spans="1:9" x14ac:dyDescent="0.35">
      <c r="A433" s="2">
        <v>406</v>
      </c>
      <c r="B433" s="2">
        <v>0.25895640721012159</v>
      </c>
      <c r="C433" s="2">
        <f t="shared" si="16"/>
        <v>20</v>
      </c>
      <c r="D433" s="22">
        <v>500000</v>
      </c>
      <c r="E433" s="71">
        <v>170000</v>
      </c>
      <c r="F433" s="71">
        <v>600000</v>
      </c>
      <c r="G433" s="71">
        <v>0</v>
      </c>
      <c r="H433" s="71">
        <v>0</v>
      </c>
      <c r="I433" s="80">
        <v>70000</v>
      </c>
    </row>
    <row r="434" spans="1:9" x14ac:dyDescent="0.35">
      <c r="A434" s="2">
        <v>407</v>
      </c>
      <c r="B434" s="2">
        <v>0.43138552649916873</v>
      </c>
      <c r="C434" s="2">
        <f t="shared" si="16"/>
        <v>25</v>
      </c>
      <c r="D434" s="22">
        <v>625000</v>
      </c>
      <c r="E434" s="71">
        <v>85000</v>
      </c>
      <c r="F434" s="71">
        <v>600000</v>
      </c>
      <c r="G434" s="71">
        <v>0</v>
      </c>
      <c r="H434" s="71">
        <v>0</v>
      </c>
      <c r="I434" s="80">
        <v>110000</v>
      </c>
    </row>
    <row r="435" spans="1:9" x14ac:dyDescent="0.35">
      <c r="A435" s="2">
        <v>408</v>
      </c>
      <c r="B435" s="2">
        <v>0.69641464117967655</v>
      </c>
      <c r="C435" s="2">
        <f t="shared" si="16"/>
        <v>35</v>
      </c>
      <c r="D435" s="22">
        <v>750000</v>
      </c>
      <c r="E435" s="71">
        <v>0</v>
      </c>
      <c r="F435" s="71">
        <v>600000</v>
      </c>
      <c r="G435" s="71">
        <v>125000</v>
      </c>
      <c r="H435" s="71">
        <v>110000</v>
      </c>
      <c r="I435" s="80">
        <v>165000</v>
      </c>
    </row>
    <row r="436" spans="1:9" x14ac:dyDescent="0.35">
      <c r="A436" s="2">
        <v>409</v>
      </c>
      <c r="B436" s="2">
        <v>0.63040550431893827</v>
      </c>
      <c r="C436" s="2">
        <f t="shared" si="16"/>
        <v>35</v>
      </c>
      <c r="D436" s="22">
        <v>750000</v>
      </c>
      <c r="E436" s="71">
        <v>0</v>
      </c>
      <c r="F436" s="71">
        <v>600000</v>
      </c>
      <c r="G436" s="71">
        <v>125000</v>
      </c>
      <c r="H436" s="71">
        <v>110000</v>
      </c>
      <c r="I436" s="80">
        <v>165000</v>
      </c>
    </row>
    <row r="437" spans="1:9" x14ac:dyDescent="0.35">
      <c r="A437" s="2">
        <v>410</v>
      </c>
      <c r="B437" s="2">
        <v>0.50474532733917843</v>
      </c>
      <c r="C437" s="2">
        <f t="shared" si="16"/>
        <v>30</v>
      </c>
      <c r="D437" s="22">
        <v>750000</v>
      </c>
      <c r="E437" s="71">
        <v>0</v>
      </c>
      <c r="F437" s="71">
        <v>600000</v>
      </c>
      <c r="G437" s="71">
        <v>0</v>
      </c>
      <c r="H437" s="71">
        <v>0</v>
      </c>
      <c r="I437" s="80">
        <v>150000</v>
      </c>
    </row>
    <row r="438" spans="1:9" x14ac:dyDescent="0.35">
      <c r="A438" s="2">
        <v>411</v>
      </c>
      <c r="B438" s="2">
        <v>0.72833779556527245</v>
      </c>
      <c r="C438" s="2">
        <f t="shared" si="16"/>
        <v>35</v>
      </c>
      <c r="D438" s="22">
        <v>750000</v>
      </c>
      <c r="E438" s="71">
        <v>0</v>
      </c>
      <c r="F438" s="71">
        <v>600000</v>
      </c>
      <c r="G438" s="71">
        <v>125000</v>
      </c>
      <c r="H438" s="71">
        <v>110000</v>
      </c>
      <c r="I438" s="80">
        <v>165000</v>
      </c>
    </row>
    <row r="439" spans="1:9" x14ac:dyDescent="0.35">
      <c r="A439" s="2">
        <v>412</v>
      </c>
      <c r="B439" s="2">
        <v>0.12205080452648842</v>
      </c>
      <c r="C439" s="2">
        <f t="shared" si="16"/>
        <v>20</v>
      </c>
      <c r="D439" s="22">
        <v>500000</v>
      </c>
      <c r="E439" s="71">
        <v>170000</v>
      </c>
      <c r="F439" s="71">
        <v>600000</v>
      </c>
      <c r="G439" s="71">
        <v>0</v>
      </c>
      <c r="H439" s="71">
        <v>0</v>
      </c>
      <c r="I439" s="80">
        <v>70000</v>
      </c>
    </row>
    <row r="440" spans="1:9" x14ac:dyDescent="0.35">
      <c r="A440" s="2">
        <v>413</v>
      </c>
      <c r="B440" s="2">
        <v>0.81021343860844453</v>
      </c>
      <c r="C440" s="2">
        <f t="shared" si="16"/>
        <v>40</v>
      </c>
      <c r="D440" s="22">
        <v>750000</v>
      </c>
      <c r="E440" s="71">
        <v>0</v>
      </c>
      <c r="F440" s="71">
        <v>600000</v>
      </c>
      <c r="G440" s="71">
        <v>250000</v>
      </c>
      <c r="H440" s="71">
        <v>220000</v>
      </c>
      <c r="I440" s="80">
        <v>180000</v>
      </c>
    </row>
    <row r="441" spans="1:9" x14ac:dyDescent="0.35">
      <c r="A441" s="2">
        <v>414</v>
      </c>
      <c r="B441" s="2">
        <v>0.42300462207050382</v>
      </c>
      <c r="C441" s="2">
        <f t="shared" si="16"/>
        <v>25</v>
      </c>
      <c r="D441" s="22">
        <v>625000</v>
      </c>
      <c r="E441" s="71">
        <v>85000</v>
      </c>
      <c r="F441" s="71">
        <v>600000</v>
      </c>
      <c r="G441" s="71">
        <v>0</v>
      </c>
      <c r="H441" s="71">
        <v>0</v>
      </c>
      <c r="I441" s="80">
        <v>110000</v>
      </c>
    </row>
    <row r="442" spans="1:9" x14ac:dyDescent="0.35">
      <c r="A442" s="2">
        <v>415</v>
      </c>
      <c r="B442" s="2">
        <v>0.24779267607673316</v>
      </c>
      <c r="C442" s="2">
        <f t="shared" si="16"/>
        <v>20</v>
      </c>
      <c r="D442" s="22">
        <v>500000</v>
      </c>
      <c r="E442" s="71">
        <v>170000</v>
      </c>
      <c r="F442" s="71">
        <v>600000</v>
      </c>
      <c r="G442" s="71">
        <v>0</v>
      </c>
      <c r="H442" s="71">
        <v>0</v>
      </c>
      <c r="I442" s="80">
        <v>70000</v>
      </c>
    </row>
    <row r="443" spans="1:9" x14ac:dyDescent="0.35">
      <c r="A443" s="2">
        <v>416</v>
      </c>
      <c r="B443" s="2">
        <v>0.27123615141109314</v>
      </c>
      <c r="C443" s="2">
        <f t="shared" si="16"/>
        <v>20</v>
      </c>
      <c r="D443" s="22">
        <v>500000</v>
      </c>
      <c r="E443" s="71">
        <v>170000</v>
      </c>
      <c r="F443" s="71">
        <v>600000</v>
      </c>
      <c r="G443" s="71">
        <v>0</v>
      </c>
      <c r="H443" s="71">
        <v>0</v>
      </c>
      <c r="I443" s="80">
        <v>70000</v>
      </c>
    </row>
    <row r="444" spans="1:9" x14ac:dyDescent="0.35">
      <c r="A444" s="2">
        <v>417</v>
      </c>
      <c r="B444" s="2">
        <v>7.13963139329713E-2</v>
      </c>
      <c r="C444" s="2">
        <f t="shared" si="16"/>
        <v>20</v>
      </c>
      <c r="D444" s="22">
        <v>500000</v>
      </c>
      <c r="E444" s="71">
        <v>170000</v>
      </c>
      <c r="F444" s="71">
        <v>600000</v>
      </c>
      <c r="G444" s="71">
        <v>0</v>
      </c>
      <c r="H444" s="71">
        <v>0</v>
      </c>
      <c r="I444" s="80">
        <v>70000</v>
      </c>
    </row>
    <row r="445" spans="1:9" x14ac:dyDescent="0.35">
      <c r="A445" s="2">
        <v>418</v>
      </c>
      <c r="B445" s="2">
        <v>0.77351705728706022</v>
      </c>
      <c r="C445" s="2">
        <f t="shared" si="16"/>
        <v>35</v>
      </c>
      <c r="D445" s="22">
        <v>750000</v>
      </c>
      <c r="E445" s="71">
        <v>0</v>
      </c>
      <c r="F445" s="71">
        <v>600000</v>
      </c>
      <c r="G445" s="71">
        <v>125000</v>
      </c>
      <c r="H445" s="71">
        <v>110000</v>
      </c>
      <c r="I445" s="80">
        <v>165000</v>
      </c>
    </row>
    <row r="446" spans="1:9" x14ac:dyDescent="0.35">
      <c r="A446" s="2">
        <v>419</v>
      </c>
      <c r="B446" s="2">
        <v>9.4092976421949803E-2</v>
      </c>
      <c r="C446" s="2">
        <f t="shared" si="16"/>
        <v>20</v>
      </c>
      <c r="D446" s="22">
        <v>500000</v>
      </c>
      <c r="E446" s="71">
        <v>170000</v>
      </c>
      <c r="F446" s="71">
        <v>600000</v>
      </c>
      <c r="G446" s="71">
        <v>0</v>
      </c>
      <c r="H446" s="71">
        <v>0</v>
      </c>
      <c r="I446" s="80">
        <v>70000</v>
      </c>
    </row>
    <row r="447" spans="1:9" x14ac:dyDescent="0.35">
      <c r="A447" s="2">
        <v>420</v>
      </c>
      <c r="B447" s="2">
        <v>0.44166528196050414</v>
      </c>
      <c r="C447" s="2">
        <f t="shared" si="16"/>
        <v>25</v>
      </c>
      <c r="D447" s="22">
        <v>625000</v>
      </c>
      <c r="E447" s="71">
        <v>85000</v>
      </c>
      <c r="F447" s="71">
        <v>600000</v>
      </c>
      <c r="G447" s="71">
        <v>0</v>
      </c>
      <c r="H447" s="71">
        <v>0</v>
      </c>
      <c r="I447" s="80">
        <v>110000</v>
      </c>
    </row>
    <row r="448" spans="1:9" x14ac:dyDescent="0.35">
      <c r="A448" s="2">
        <v>421</v>
      </c>
      <c r="B448" s="2">
        <v>0.28672953413780322</v>
      </c>
      <c r="C448" s="2">
        <f t="shared" si="16"/>
        <v>20</v>
      </c>
      <c r="D448" s="22">
        <v>500000</v>
      </c>
      <c r="E448" s="71">
        <v>170000</v>
      </c>
      <c r="F448" s="71">
        <v>600000</v>
      </c>
      <c r="G448" s="71">
        <v>0</v>
      </c>
      <c r="H448" s="71">
        <v>0</v>
      </c>
      <c r="I448" s="80">
        <v>70000</v>
      </c>
    </row>
    <row r="449" spans="1:9" x14ac:dyDescent="0.35">
      <c r="A449" s="2">
        <v>422</v>
      </c>
      <c r="B449" s="2">
        <v>0.98429713421070575</v>
      </c>
      <c r="C449" s="2">
        <f t="shared" si="16"/>
        <v>40</v>
      </c>
      <c r="D449" s="22">
        <v>750000</v>
      </c>
      <c r="E449" s="71">
        <v>0</v>
      </c>
      <c r="F449" s="71">
        <v>600000</v>
      </c>
      <c r="G449" s="71">
        <v>250000</v>
      </c>
      <c r="H449" s="71">
        <v>220000</v>
      </c>
      <c r="I449" s="80">
        <v>180000</v>
      </c>
    </row>
    <row r="450" spans="1:9" x14ac:dyDescent="0.35">
      <c r="A450" s="2">
        <v>423</v>
      </c>
      <c r="B450" s="2">
        <v>0.99019546600627695</v>
      </c>
      <c r="C450" s="2">
        <f t="shared" si="16"/>
        <v>40</v>
      </c>
      <c r="D450" s="22">
        <v>750000</v>
      </c>
      <c r="E450" s="71">
        <v>0</v>
      </c>
      <c r="F450" s="71">
        <v>600000</v>
      </c>
      <c r="G450" s="71">
        <v>250000</v>
      </c>
      <c r="H450" s="71">
        <v>220000</v>
      </c>
      <c r="I450" s="80">
        <v>180000</v>
      </c>
    </row>
    <row r="451" spans="1:9" x14ac:dyDescent="0.35">
      <c r="A451" s="2">
        <v>424</v>
      </c>
      <c r="B451" s="2">
        <v>0.17429722448289697</v>
      </c>
      <c r="C451" s="2">
        <f t="shared" si="16"/>
        <v>20</v>
      </c>
      <c r="D451" s="22">
        <v>500000</v>
      </c>
      <c r="E451" s="71">
        <v>170000</v>
      </c>
      <c r="F451" s="71">
        <v>600000</v>
      </c>
      <c r="G451" s="71">
        <v>0</v>
      </c>
      <c r="H451" s="71">
        <v>0</v>
      </c>
      <c r="I451" s="80">
        <v>70000</v>
      </c>
    </row>
    <row r="452" spans="1:9" x14ac:dyDescent="0.35">
      <c r="A452" s="2">
        <v>425</v>
      </c>
      <c r="B452" s="2">
        <v>0.30731011151895737</v>
      </c>
      <c r="C452" s="2">
        <f t="shared" si="16"/>
        <v>25</v>
      </c>
      <c r="D452" s="22">
        <v>625000</v>
      </c>
      <c r="E452" s="71">
        <v>85000</v>
      </c>
      <c r="F452" s="71">
        <v>600000</v>
      </c>
      <c r="G452" s="71">
        <v>0</v>
      </c>
      <c r="H452" s="71">
        <v>0</v>
      </c>
      <c r="I452" s="80">
        <v>110000</v>
      </c>
    </row>
    <row r="453" spans="1:9" x14ac:dyDescent="0.35">
      <c r="A453" s="2">
        <v>426</v>
      </c>
      <c r="B453" s="2">
        <v>8.4081134778643429E-2</v>
      </c>
      <c r="C453" s="2">
        <f t="shared" si="16"/>
        <v>20</v>
      </c>
      <c r="D453" s="22">
        <v>500000</v>
      </c>
      <c r="E453" s="71">
        <v>170000</v>
      </c>
      <c r="F453" s="71">
        <v>600000</v>
      </c>
      <c r="G453" s="71">
        <v>0</v>
      </c>
      <c r="H453" s="71">
        <v>0</v>
      </c>
      <c r="I453" s="80">
        <v>70000</v>
      </c>
    </row>
    <row r="454" spans="1:9" x14ac:dyDescent="0.35">
      <c r="A454" s="2">
        <v>427</v>
      </c>
      <c r="B454" s="2">
        <v>0.58503771335565358</v>
      </c>
      <c r="C454" s="2">
        <f t="shared" si="16"/>
        <v>30</v>
      </c>
      <c r="D454" s="22">
        <v>750000</v>
      </c>
      <c r="E454" s="71">
        <v>0</v>
      </c>
      <c r="F454" s="71">
        <v>600000</v>
      </c>
      <c r="G454" s="71">
        <v>0</v>
      </c>
      <c r="H454" s="71">
        <v>0</v>
      </c>
      <c r="I454" s="80">
        <v>150000</v>
      </c>
    </row>
    <row r="455" spans="1:9" x14ac:dyDescent="0.35">
      <c r="A455" s="2">
        <v>428</v>
      </c>
      <c r="B455" s="2">
        <v>1.8803945266497757E-2</v>
      </c>
      <c r="C455" s="2">
        <f t="shared" si="16"/>
        <v>20</v>
      </c>
      <c r="D455" s="22">
        <v>500000</v>
      </c>
      <c r="E455" s="71">
        <v>170000</v>
      </c>
      <c r="F455" s="71">
        <v>600000</v>
      </c>
      <c r="G455" s="71">
        <v>0</v>
      </c>
      <c r="H455" s="71">
        <v>0</v>
      </c>
      <c r="I455" s="80">
        <v>70000</v>
      </c>
    </row>
    <row r="456" spans="1:9" x14ac:dyDescent="0.35">
      <c r="A456" s="2">
        <v>429</v>
      </c>
      <c r="B456" s="2">
        <v>0.68649011568513774</v>
      </c>
      <c r="C456" s="2">
        <f t="shared" si="16"/>
        <v>35</v>
      </c>
      <c r="D456" s="22">
        <v>750000</v>
      </c>
      <c r="E456" s="71">
        <v>0</v>
      </c>
      <c r="F456" s="71">
        <v>600000</v>
      </c>
      <c r="G456" s="71">
        <v>125000</v>
      </c>
      <c r="H456" s="71">
        <v>110000</v>
      </c>
      <c r="I456" s="80">
        <v>165000</v>
      </c>
    </row>
    <row r="457" spans="1:9" x14ac:dyDescent="0.35">
      <c r="A457" s="2">
        <v>430</v>
      </c>
      <c r="B457" s="2">
        <v>0.78381137245648036</v>
      </c>
      <c r="C457" s="2">
        <f t="shared" si="16"/>
        <v>35</v>
      </c>
      <c r="D457" s="22">
        <v>750000</v>
      </c>
      <c r="E457" s="71">
        <v>0</v>
      </c>
      <c r="F457" s="71">
        <v>600000</v>
      </c>
      <c r="G457" s="71">
        <v>125000</v>
      </c>
      <c r="H457" s="71">
        <v>110000</v>
      </c>
      <c r="I457" s="80">
        <v>165000</v>
      </c>
    </row>
    <row r="458" spans="1:9" x14ac:dyDescent="0.35">
      <c r="A458" s="2">
        <v>431</v>
      </c>
      <c r="B458" s="2">
        <v>0.21574458357148663</v>
      </c>
      <c r="C458" s="2">
        <f t="shared" si="16"/>
        <v>20</v>
      </c>
      <c r="D458" s="22">
        <v>500000</v>
      </c>
      <c r="E458" s="71">
        <v>170000</v>
      </c>
      <c r="F458" s="71">
        <v>600000</v>
      </c>
      <c r="G458" s="71">
        <v>0</v>
      </c>
      <c r="H458" s="71">
        <v>0</v>
      </c>
      <c r="I458" s="80">
        <v>70000</v>
      </c>
    </row>
    <row r="459" spans="1:9" x14ac:dyDescent="0.35">
      <c r="A459" s="2">
        <v>432</v>
      </c>
      <c r="B459" s="2">
        <v>3.5389073552745898E-2</v>
      </c>
      <c r="C459" s="2">
        <f t="shared" si="16"/>
        <v>20</v>
      </c>
      <c r="D459" s="22">
        <v>500000</v>
      </c>
      <c r="E459" s="71">
        <v>170000</v>
      </c>
      <c r="F459" s="71">
        <v>600000</v>
      </c>
      <c r="G459" s="71">
        <v>0</v>
      </c>
      <c r="H459" s="71">
        <v>0</v>
      </c>
      <c r="I459" s="80">
        <v>70000</v>
      </c>
    </row>
    <row r="460" spans="1:9" x14ac:dyDescent="0.35">
      <c r="A460" s="2">
        <v>433</v>
      </c>
      <c r="B460" s="2">
        <v>0.95481888904412537</v>
      </c>
      <c r="C460" s="2">
        <f t="shared" si="16"/>
        <v>40</v>
      </c>
      <c r="D460" s="22">
        <v>750000</v>
      </c>
      <c r="E460" s="71">
        <v>0</v>
      </c>
      <c r="F460" s="71">
        <v>600000</v>
      </c>
      <c r="G460" s="71">
        <v>250000</v>
      </c>
      <c r="H460" s="71">
        <v>220000</v>
      </c>
      <c r="I460" s="80">
        <v>180000</v>
      </c>
    </row>
    <row r="461" spans="1:9" x14ac:dyDescent="0.35">
      <c r="A461" s="2">
        <v>434</v>
      </c>
      <c r="B461" s="2">
        <v>0.39330143082121194</v>
      </c>
      <c r="C461" s="2">
        <f t="shared" si="16"/>
        <v>25</v>
      </c>
      <c r="D461" s="22">
        <v>625000</v>
      </c>
      <c r="E461" s="71">
        <v>85000</v>
      </c>
      <c r="F461" s="71">
        <v>600000</v>
      </c>
      <c r="G461" s="71">
        <v>0</v>
      </c>
      <c r="H461" s="71">
        <v>0</v>
      </c>
      <c r="I461" s="80">
        <v>110000</v>
      </c>
    </row>
    <row r="462" spans="1:9" x14ac:dyDescent="0.35">
      <c r="A462" s="2">
        <v>435</v>
      </c>
      <c r="B462" s="2">
        <v>8.1737065338132964E-2</v>
      </c>
      <c r="C462" s="2">
        <f t="shared" si="16"/>
        <v>20</v>
      </c>
      <c r="D462" s="22">
        <v>500000</v>
      </c>
      <c r="E462" s="71">
        <v>170000</v>
      </c>
      <c r="F462" s="71">
        <v>600000</v>
      </c>
      <c r="G462" s="71">
        <v>0</v>
      </c>
      <c r="H462" s="71">
        <v>0</v>
      </c>
      <c r="I462" s="80">
        <v>70000</v>
      </c>
    </row>
    <row r="463" spans="1:9" x14ac:dyDescent="0.35">
      <c r="A463" s="2">
        <v>436</v>
      </c>
      <c r="B463" s="2">
        <v>0.95648129010757343</v>
      </c>
      <c r="C463" s="2">
        <f t="shared" si="16"/>
        <v>40</v>
      </c>
      <c r="D463" s="22">
        <v>750000</v>
      </c>
      <c r="E463" s="71">
        <v>0</v>
      </c>
      <c r="F463" s="71">
        <v>600000</v>
      </c>
      <c r="G463" s="71">
        <v>250000</v>
      </c>
      <c r="H463" s="71">
        <v>220000</v>
      </c>
      <c r="I463" s="80">
        <v>180000</v>
      </c>
    </row>
    <row r="464" spans="1:9" x14ac:dyDescent="0.35">
      <c r="A464" s="2">
        <v>437</v>
      </c>
      <c r="B464" s="2">
        <v>0.30447212108030597</v>
      </c>
      <c r="C464" s="2">
        <f t="shared" si="16"/>
        <v>25</v>
      </c>
      <c r="D464" s="22">
        <v>625000</v>
      </c>
      <c r="E464" s="71">
        <v>85000</v>
      </c>
      <c r="F464" s="71">
        <v>600000</v>
      </c>
      <c r="G464" s="71">
        <v>0</v>
      </c>
      <c r="H464" s="71">
        <v>0</v>
      </c>
      <c r="I464" s="80">
        <v>110000</v>
      </c>
    </row>
    <row r="465" spans="1:9" x14ac:dyDescent="0.35">
      <c r="A465" s="2">
        <v>438</v>
      </c>
      <c r="B465" s="2">
        <v>0.22334945826170527</v>
      </c>
      <c r="C465" s="2">
        <f t="shared" si="16"/>
        <v>20</v>
      </c>
      <c r="D465" s="22">
        <v>500000</v>
      </c>
      <c r="E465" s="71">
        <v>170000</v>
      </c>
      <c r="F465" s="71">
        <v>600000</v>
      </c>
      <c r="G465" s="71">
        <v>0</v>
      </c>
      <c r="H465" s="71">
        <v>0</v>
      </c>
      <c r="I465" s="80">
        <v>70000</v>
      </c>
    </row>
    <row r="466" spans="1:9" x14ac:dyDescent="0.35">
      <c r="A466" s="2">
        <v>439</v>
      </c>
      <c r="B466" s="2">
        <v>0.4427154777656287</v>
      </c>
      <c r="C466" s="2">
        <f t="shared" si="16"/>
        <v>25</v>
      </c>
      <c r="D466" s="22">
        <v>625000</v>
      </c>
      <c r="E466" s="71">
        <v>85000</v>
      </c>
      <c r="F466" s="71">
        <v>600000</v>
      </c>
      <c r="G466" s="71">
        <v>0</v>
      </c>
      <c r="H466" s="71">
        <v>0</v>
      </c>
      <c r="I466" s="80">
        <v>110000</v>
      </c>
    </row>
    <row r="467" spans="1:9" x14ac:dyDescent="0.35">
      <c r="A467" s="2">
        <v>440</v>
      </c>
      <c r="B467" s="2">
        <v>0.74268783104573355</v>
      </c>
      <c r="C467" s="2">
        <f t="shared" si="16"/>
        <v>35</v>
      </c>
      <c r="D467" s="22">
        <v>750000</v>
      </c>
      <c r="E467" s="71">
        <v>0</v>
      </c>
      <c r="F467" s="71">
        <v>600000</v>
      </c>
      <c r="G467" s="71">
        <v>125000</v>
      </c>
      <c r="H467" s="71">
        <v>110000</v>
      </c>
      <c r="I467" s="80">
        <v>165000</v>
      </c>
    </row>
    <row r="468" spans="1:9" x14ac:dyDescent="0.35">
      <c r="A468" s="2">
        <v>441</v>
      </c>
      <c r="B468" s="2">
        <v>0.63057523443875096</v>
      </c>
      <c r="C468" s="2">
        <f t="shared" si="16"/>
        <v>35</v>
      </c>
      <c r="D468" s="22">
        <v>750000</v>
      </c>
      <c r="E468" s="71">
        <v>0</v>
      </c>
      <c r="F468" s="71">
        <v>600000</v>
      </c>
      <c r="G468" s="71">
        <v>125000</v>
      </c>
      <c r="H468" s="71">
        <v>110000</v>
      </c>
      <c r="I468" s="80">
        <v>165000</v>
      </c>
    </row>
    <row r="469" spans="1:9" x14ac:dyDescent="0.35">
      <c r="A469" s="2">
        <v>442</v>
      </c>
      <c r="B469" s="2">
        <v>0.83071612436299846</v>
      </c>
      <c r="C469" s="2">
        <f t="shared" si="16"/>
        <v>40</v>
      </c>
      <c r="D469" s="22">
        <v>750000</v>
      </c>
      <c r="E469" s="71">
        <v>0</v>
      </c>
      <c r="F469" s="71">
        <v>600000</v>
      </c>
      <c r="G469" s="71">
        <v>250000</v>
      </c>
      <c r="H469" s="71">
        <v>220000</v>
      </c>
      <c r="I469" s="80">
        <v>180000</v>
      </c>
    </row>
    <row r="470" spans="1:9" x14ac:dyDescent="0.35">
      <c r="A470" s="2">
        <v>443</v>
      </c>
      <c r="B470" s="2">
        <v>0.95810328214504792</v>
      </c>
      <c r="C470" s="2">
        <f t="shared" si="16"/>
        <v>40</v>
      </c>
      <c r="D470" s="22">
        <v>750000</v>
      </c>
      <c r="E470" s="71">
        <v>0</v>
      </c>
      <c r="F470" s="71">
        <v>600000</v>
      </c>
      <c r="G470" s="71">
        <v>250000</v>
      </c>
      <c r="H470" s="71">
        <v>220000</v>
      </c>
      <c r="I470" s="80">
        <v>180000</v>
      </c>
    </row>
    <row r="471" spans="1:9" x14ac:dyDescent="0.35">
      <c r="A471" s="2">
        <v>444</v>
      </c>
      <c r="B471" s="2">
        <v>0.29923391982032177</v>
      </c>
      <c r="C471" s="2">
        <f t="shared" si="16"/>
        <v>20</v>
      </c>
      <c r="D471" s="22">
        <v>500000</v>
      </c>
      <c r="E471" s="71">
        <v>170000</v>
      </c>
      <c r="F471" s="71">
        <v>600000</v>
      </c>
      <c r="G471" s="71">
        <v>0</v>
      </c>
      <c r="H471" s="71">
        <v>0</v>
      </c>
      <c r="I471" s="80">
        <v>70000</v>
      </c>
    </row>
    <row r="472" spans="1:9" x14ac:dyDescent="0.35">
      <c r="A472" s="2">
        <v>445</v>
      </c>
      <c r="B472" s="2">
        <v>0.4636927476967061</v>
      </c>
      <c r="C472" s="2">
        <f t="shared" si="16"/>
        <v>30</v>
      </c>
      <c r="D472" s="22">
        <v>750000</v>
      </c>
      <c r="E472" s="71">
        <v>0</v>
      </c>
      <c r="F472" s="71">
        <v>600000</v>
      </c>
      <c r="G472" s="71">
        <v>0</v>
      </c>
      <c r="H472" s="71">
        <v>0</v>
      </c>
      <c r="I472" s="80">
        <v>150000</v>
      </c>
    </row>
    <row r="473" spans="1:9" x14ac:dyDescent="0.35">
      <c r="A473" s="2">
        <v>446</v>
      </c>
      <c r="B473" s="2">
        <v>0.24953732101564363</v>
      </c>
      <c r="C473" s="2">
        <f t="shared" si="16"/>
        <v>20</v>
      </c>
      <c r="D473" s="22">
        <v>500000</v>
      </c>
      <c r="E473" s="71">
        <v>170000</v>
      </c>
      <c r="F473" s="71">
        <v>600000</v>
      </c>
      <c r="G473" s="71">
        <v>0</v>
      </c>
      <c r="H473" s="71">
        <v>0</v>
      </c>
      <c r="I473" s="80">
        <v>70000</v>
      </c>
    </row>
    <row r="474" spans="1:9" x14ac:dyDescent="0.35">
      <c r="A474" s="2">
        <v>447</v>
      </c>
      <c r="B474" s="2">
        <v>9.0897981703171649E-2</v>
      </c>
      <c r="C474" s="2">
        <f t="shared" si="16"/>
        <v>20</v>
      </c>
      <c r="D474" s="22">
        <v>500000</v>
      </c>
      <c r="E474" s="71">
        <v>170000</v>
      </c>
      <c r="F474" s="71">
        <v>600000</v>
      </c>
      <c r="G474" s="71">
        <v>0</v>
      </c>
      <c r="H474" s="71">
        <v>0</v>
      </c>
      <c r="I474" s="80">
        <v>70000</v>
      </c>
    </row>
    <row r="475" spans="1:9" x14ac:dyDescent="0.35">
      <c r="A475" s="2">
        <v>448</v>
      </c>
      <c r="B475" s="2">
        <v>0.90942075161123959</v>
      </c>
      <c r="C475" s="2">
        <f t="shared" si="16"/>
        <v>40</v>
      </c>
      <c r="D475" s="22">
        <v>750000</v>
      </c>
      <c r="E475" s="71">
        <v>0</v>
      </c>
      <c r="F475" s="71">
        <v>600000</v>
      </c>
      <c r="G475" s="71">
        <v>250000</v>
      </c>
      <c r="H475" s="71">
        <v>220000</v>
      </c>
      <c r="I475" s="80">
        <v>180000</v>
      </c>
    </row>
    <row r="476" spans="1:9" x14ac:dyDescent="0.35">
      <c r="A476" s="2">
        <v>449</v>
      </c>
      <c r="B476" s="2">
        <v>0.54457182913390723</v>
      </c>
      <c r="C476" s="2">
        <f t="shared" si="16"/>
        <v>30</v>
      </c>
      <c r="D476" s="22">
        <v>750000</v>
      </c>
      <c r="E476" s="71">
        <v>0</v>
      </c>
      <c r="F476" s="71">
        <v>600000</v>
      </c>
      <c r="G476" s="71">
        <v>0</v>
      </c>
      <c r="H476" s="71">
        <v>0</v>
      </c>
      <c r="I476" s="80">
        <v>150000</v>
      </c>
    </row>
    <row r="477" spans="1:9" x14ac:dyDescent="0.35">
      <c r="A477" s="2">
        <v>450</v>
      </c>
      <c r="B477" s="2">
        <v>9.7744621087187289E-2</v>
      </c>
      <c r="C477" s="2">
        <f t="shared" ref="C477:C527" si="17">VLOOKUP(B477,$D$5:$F$10,2,TRUE)</f>
        <v>20</v>
      </c>
      <c r="D477" s="22">
        <v>500000</v>
      </c>
      <c r="E477" s="71">
        <v>170000</v>
      </c>
      <c r="F477" s="71">
        <v>600000</v>
      </c>
      <c r="G477" s="71">
        <v>0</v>
      </c>
      <c r="H477" s="71">
        <v>0</v>
      </c>
      <c r="I477" s="80">
        <v>70000</v>
      </c>
    </row>
    <row r="478" spans="1:9" x14ac:dyDescent="0.35">
      <c r="A478" s="2">
        <v>451</v>
      </c>
      <c r="B478" s="2">
        <v>0.84310621627915694</v>
      </c>
      <c r="C478" s="2">
        <f t="shared" si="17"/>
        <v>40</v>
      </c>
      <c r="D478" s="22">
        <v>750000</v>
      </c>
      <c r="E478" s="71">
        <v>0</v>
      </c>
      <c r="F478" s="71">
        <v>600000</v>
      </c>
      <c r="G478" s="71">
        <v>250000</v>
      </c>
      <c r="H478" s="71">
        <v>220000</v>
      </c>
      <c r="I478" s="80">
        <v>180000</v>
      </c>
    </row>
    <row r="479" spans="1:9" x14ac:dyDescent="0.35">
      <c r="A479" s="2">
        <v>452</v>
      </c>
      <c r="B479" s="2">
        <v>0.44931288058533492</v>
      </c>
      <c r="C479" s="2">
        <f t="shared" si="17"/>
        <v>25</v>
      </c>
      <c r="D479" s="22">
        <v>625000</v>
      </c>
      <c r="E479" s="71">
        <v>85000</v>
      </c>
      <c r="F479" s="71">
        <v>600000</v>
      </c>
      <c r="G479" s="71">
        <v>0</v>
      </c>
      <c r="H479" s="71">
        <v>0</v>
      </c>
      <c r="I479" s="80">
        <v>110000</v>
      </c>
    </row>
    <row r="480" spans="1:9" x14ac:dyDescent="0.35">
      <c r="A480" s="2">
        <v>453</v>
      </c>
      <c r="B480" s="2">
        <v>0.54140669271402775</v>
      </c>
      <c r="C480" s="2">
        <f t="shared" si="17"/>
        <v>30</v>
      </c>
      <c r="D480" s="22">
        <v>750000</v>
      </c>
      <c r="E480" s="71">
        <v>0</v>
      </c>
      <c r="F480" s="71">
        <v>600000</v>
      </c>
      <c r="G480" s="71">
        <v>0</v>
      </c>
      <c r="H480" s="71">
        <v>0</v>
      </c>
      <c r="I480" s="80">
        <v>150000</v>
      </c>
    </row>
    <row r="481" spans="1:9" x14ac:dyDescent="0.35">
      <c r="A481" s="2">
        <v>454</v>
      </c>
      <c r="B481" s="2">
        <v>0.20078246414231826</v>
      </c>
      <c r="C481" s="2">
        <f t="shared" si="17"/>
        <v>20</v>
      </c>
      <c r="D481" s="22">
        <v>500000</v>
      </c>
      <c r="E481" s="71">
        <v>170000</v>
      </c>
      <c r="F481" s="71">
        <v>600000</v>
      </c>
      <c r="G481" s="71">
        <v>0</v>
      </c>
      <c r="H481" s="71">
        <v>0</v>
      </c>
      <c r="I481" s="80">
        <v>70000</v>
      </c>
    </row>
    <row r="482" spans="1:9" x14ac:dyDescent="0.35">
      <c r="A482" s="2">
        <v>455</v>
      </c>
      <c r="B482" s="2">
        <v>0.55009967205748433</v>
      </c>
      <c r="C482" s="2">
        <f t="shared" si="17"/>
        <v>30</v>
      </c>
      <c r="D482" s="22">
        <v>750000</v>
      </c>
      <c r="E482" s="71">
        <v>0</v>
      </c>
      <c r="F482" s="71">
        <v>600000</v>
      </c>
      <c r="G482" s="71">
        <v>0</v>
      </c>
      <c r="H482" s="71">
        <v>0</v>
      </c>
      <c r="I482" s="80">
        <v>150000</v>
      </c>
    </row>
    <row r="483" spans="1:9" x14ac:dyDescent="0.35">
      <c r="A483" s="2">
        <v>456</v>
      </c>
      <c r="B483" s="2">
        <v>0.16561559647183677</v>
      </c>
      <c r="C483" s="2">
        <f t="shared" si="17"/>
        <v>20</v>
      </c>
      <c r="D483" s="22">
        <v>500000</v>
      </c>
      <c r="E483" s="71">
        <v>170000</v>
      </c>
      <c r="F483" s="71">
        <v>600000</v>
      </c>
      <c r="G483" s="71">
        <v>0</v>
      </c>
      <c r="H483" s="71">
        <v>0</v>
      </c>
      <c r="I483" s="80">
        <v>70000</v>
      </c>
    </row>
    <row r="484" spans="1:9" x14ac:dyDescent="0.35">
      <c r="A484" s="2">
        <v>457</v>
      </c>
      <c r="B484" s="2">
        <v>0.54417877865633324</v>
      </c>
      <c r="C484" s="2">
        <f t="shared" si="17"/>
        <v>30</v>
      </c>
      <c r="D484" s="22">
        <v>750000</v>
      </c>
      <c r="E484" s="71">
        <v>0</v>
      </c>
      <c r="F484" s="71">
        <v>600000</v>
      </c>
      <c r="G484" s="71">
        <v>0</v>
      </c>
      <c r="H484" s="71">
        <v>0</v>
      </c>
      <c r="I484" s="80">
        <v>150000</v>
      </c>
    </row>
    <row r="485" spans="1:9" x14ac:dyDescent="0.35">
      <c r="A485" s="2">
        <v>458</v>
      </c>
      <c r="B485" s="2">
        <v>0.25765411292496343</v>
      </c>
      <c r="C485" s="2">
        <f t="shared" si="17"/>
        <v>20</v>
      </c>
      <c r="D485" s="22">
        <v>500000</v>
      </c>
      <c r="E485" s="71">
        <v>170000</v>
      </c>
      <c r="F485" s="71">
        <v>600000</v>
      </c>
      <c r="G485" s="71">
        <v>0</v>
      </c>
      <c r="H485" s="71">
        <v>0</v>
      </c>
      <c r="I485" s="80">
        <v>70000</v>
      </c>
    </row>
    <row r="486" spans="1:9" x14ac:dyDescent="0.35">
      <c r="A486" s="2">
        <v>459</v>
      </c>
      <c r="B486" s="2">
        <v>0.98981401467824282</v>
      </c>
      <c r="C486" s="2">
        <f t="shared" si="17"/>
        <v>40</v>
      </c>
      <c r="D486" s="22">
        <v>750000</v>
      </c>
      <c r="E486" s="71">
        <v>0</v>
      </c>
      <c r="F486" s="71">
        <v>600000</v>
      </c>
      <c r="G486" s="71">
        <v>250000</v>
      </c>
      <c r="H486" s="71">
        <v>220000</v>
      </c>
      <c r="I486" s="80">
        <v>180000</v>
      </c>
    </row>
    <row r="487" spans="1:9" x14ac:dyDescent="0.35">
      <c r="A487" s="2">
        <v>460</v>
      </c>
      <c r="B487" s="2">
        <v>0.83851366258078019</v>
      </c>
      <c r="C487" s="2">
        <f t="shared" si="17"/>
        <v>40</v>
      </c>
      <c r="D487" s="22">
        <v>750000</v>
      </c>
      <c r="E487" s="71">
        <v>0</v>
      </c>
      <c r="F487" s="71">
        <v>600000</v>
      </c>
      <c r="G487" s="71">
        <v>250000</v>
      </c>
      <c r="H487" s="71">
        <v>220000</v>
      </c>
      <c r="I487" s="80">
        <v>180000</v>
      </c>
    </row>
    <row r="488" spans="1:9" x14ac:dyDescent="0.35">
      <c r="A488" s="2">
        <v>461</v>
      </c>
      <c r="B488" s="2">
        <v>0.40570082840340704</v>
      </c>
      <c r="C488" s="2">
        <f t="shared" si="17"/>
        <v>25</v>
      </c>
      <c r="D488" s="22">
        <v>625000</v>
      </c>
      <c r="E488" s="71">
        <v>85000</v>
      </c>
      <c r="F488" s="71">
        <v>600000</v>
      </c>
      <c r="G488" s="71">
        <v>0</v>
      </c>
      <c r="H488" s="71">
        <v>0</v>
      </c>
      <c r="I488" s="80">
        <v>110000</v>
      </c>
    </row>
    <row r="489" spans="1:9" x14ac:dyDescent="0.35">
      <c r="A489" s="2">
        <v>462</v>
      </c>
      <c r="B489" s="2">
        <v>0.28313442940564937</v>
      </c>
      <c r="C489" s="2">
        <f t="shared" si="17"/>
        <v>20</v>
      </c>
      <c r="D489" s="22">
        <v>500000</v>
      </c>
      <c r="E489" s="71">
        <v>170000</v>
      </c>
      <c r="F489" s="71">
        <v>600000</v>
      </c>
      <c r="G489" s="71">
        <v>0</v>
      </c>
      <c r="H489" s="71">
        <v>0</v>
      </c>
      <c r="I489" s="80">
        <v>70000</v>
      </c>
    </row>
    <row r="490" spans="1:9" x14ac:dyDescent="0.35">
      <c r="A490" s="2">
        <v>463</v>
      </c>
      <c r="B490" s="2">
        <v>0.96567776734391142</v>
      </c>
      <c r="C490" s="2">
        <f t="shared" si="17"/>
        <v>40</v>
      </c>
      <c r="D490" s="22">
        <v>750000</v>
      </c>
      <c r="E490" s="71">
        <v>0</v>
      </c>
      <c r="F490" s="71">
        <v>600000</v>
      </c>
      <c r="G490" s="71">
        <v>250000</v>
      </c>
      <c r="H490" s="71">
        <v>220000</v>
      </c>
      <c r="I490" s="80">
        <v>180000</v>
      </c>
    </row>
    <row r="491" spans="1:9" x14ac:dyDescent="0.35">
      <c r="A491" s="2">
        <v>464</v>
      </c>
      <c r="B491" s="2">
        <v>0.50896123290266504</v>
      </c>
      <c r="C491" s="2">
        <f t="shared" si="17"/>
        <v>30</v>
      </c>
      <c r="D491" s="22">
        <v>750000</v>
      </c>
      <c r="E491" s="71">
        <v>0</v>
      </c>
      <c r="F491" s="71">
        <v>600000</v>
      </c>
      <c r="G491" s="71">
        <v>0</v>
      </c>
      <c r="H491" s="71">
        <v>0</v>
      </c>
      <c r="I491" s="80">
        <v>150000</v>
      </c>
    </row>
    <row r="492" spans="1:9" x14ac:dyDescent="0.35">
      <c r="A492" s="2">
        <v>465</v>
      </c>
      <c r="B492" s="2">
        <v>0.23298078426035185</v>
      </c>
      <c r="C492" s="2">
        <f t="shared" si="17"/>
        <v>20</v>
      </c>
      <c r="D492" s="22">
        <v>500000</v>
      </c>
      <c r="E492" s="71">
        <v>170000</v>
      </c>
      <c r="F492" s="71">
        <v>600000</v>
      </c>
      <c r="G492" s="71">
        <v>0</v>
      </c>
      <c r="H492" s="71">
        <v>0</v>
      </c>
      <c r="I492" s="80">
        <v>70000</v>
      </c>
    </row>
    <row r="493" spans="1:9" x14ac:dyDescent="0.35">
      <c r="A493" s="2">
        <v>466</v>
      </c>
      <c r="B493" s="2">
        <v>0.2265285616184648</v>
      </c>
      <c r="C493" s="2">
        <f t="shared" si="17"/>
        <v>20</v>
      </c>
      <c r="D493" s="22">
        <v>500000</v>
      </c>
      <c r="E493" s="71">
        <v>170000</v>
      </c>
      <c r="F493" s="71">
        <v>600000</v>
      </c>
      <c r="G493" s="71">
        <v>0</v>
      </c>
      <c r="H493" s="71">
        <v>0</v>
      </c>
      <c r="I493" s="80">
        <v>70000</v>
      </c>
    </row>
    <row r="494" spans="1:9" x14ac:dyDescent="0.35">
      <c r="A494" s="2">
        <v>467</v>
      </c>
      <c r="B494" s="2">
        <v>0.76929443494414207</v>
      </c>
      <c r="C494" s="2">
        <f t="shared" si="17"/>
        <v>35</v>
      </c>
      <c r="D494" s="22">
        <v>750000</v>
      </c>
      <c r="E494" s="71">
        <v>0</v>
      </c>
      <c r="F494" s="71">
        <v>600000</v>
      </c>
      <c r="G494" s="71">
        <v>125000</v>
      </c>
      <c r="H494" s="71">
        <v>110000</v>
      </c>
      <c r="I494" s="80">
        <v>165000</v>
      </c>
    </row>
    <row r="495" spans="1:9" x14ac:dyDescent="0.35">
      <c r="A495" s="2">
        <v>468</v>
      </c>
      <c r="B495" s="2">
        <v>0.64775735293422521</v>
      </c>
      <c r="C495" s="2">
        <f t="shared" si="17"/>
        <v>35</v>
      </c>
      <c r="D495" s="22">
        <v>750000</v>
      </c>
      <c r="E495" s="71">
        <v>0</v>
      </c>
      <c r="F495" s="71">
        <v>600000</v>
      </c>
      <c r="G495" s="71">
        <v>125000</v>
      </c>
      <c r="H495" s="71">
        <v>110000</v>
      </c>
      <c r="I495" s="80">
        <v>165000</v>
      </c>
    </row>
    <row r="496" spans="1:9" x14ac:dyDescent="0.35">
      <c r="A496" s="2">
        <v>469</v>
      </c>
      <c r="B496" s="2">
        <v>2.1266955898527673E-2</v>
      </c>
      <c r="C496" s="2">
        <f t="shared" si="17"/>
        <v>20</v>
      </c>
      <c r="D496" s="22">
        <v>500000</v>
      </c>
      <c r="E496" s="71">
        <v>170000</v>
      </c>
      <c r="F496" s="71">
        <v>600000</v>
      </c>
      <c r="G496" s="71">
        <v>0</v>
      </c>
      <c r="H496" s="71">
        <v>0</v>
      </c>
      <c r="I496" s="80">
        <v>70000</v>
      </c>
    </row>
    <row r="497" spans="1:9" x14ac:dyDescent="0.35">
      <c r="A497" s="2">
        <v>470</v>
      </c>
      <c r="B497" s="2">
        <v>0.33925316901976577</v>
      </c>
      <c r="C497" s="2">
        <f t="shared" si="17"/>
        <v>25</v>
      </c>
      <c r="D497" s="22">
        <v>625000</v>
      </c>
      <c r="E497" s="71">
        <v>85000</v>
      </c>
      <c r="F497" s="71">
        <v>600000</v>
      </c>
      <c r="G497" s="71">
        <v>0</v>
      </c>
      <c r="H497" s="71">
        <v>0</v>
      </c>
      <c r="I497" s="80">
        <v>110000</v>
      </c>
    </row>
    <row r="498" spans="1:9" x14ac:dyDescent="0.35">
      <c r="A498" s="2">
        <v>471</v>
      </c>
      <c r="B498" s="2">
        <v>0.16422991945542575</v>
      </c>
      <c r="C498" s="2">
        <f t="shared" si="17"/>
        <v>20</v>
      </c>
      <c r="D498" s="22">
        <v>500000</v>
      </c>
      <c r="E498" s="71">
        <v>170000</v>
      </c>
      <c r="F498" s="71">
        <v>600000</v>
      </c>
      <c r="G498" s="71">
        <v>0</v>
      </c>
      <c r="H498" s="71">
        <v>0</v>
      </c>
      <c r="I498" s="80">
        <v>70000</v>
      </c>
    </row>
    <row r="499" spans="1:9" x14ac:dyDescent="0.35">
      <c r="A499" s="2">
        <v>472</v>
      </c>
      <c r="B499" s="2">
        <v>0.27644475793348211</v>
      </c>
      <c r="C499" s="2">
        <f t="shared" si="17"/>
        <v>20</v>
      </c>
      <c r="D499" s="22">
        <v>500000</v>
      </c>
      <c r="E499" s="71">
        <v>170000</v>
      </c>
      <c r="F499" s="71">
        <v>600000</v>
      </c>
      <c r="G499" s="71">
        <v>0</v>
      </c>
      <c r="H499" s="71">
        <v>0</v>
      </c>
      <c r="I499" s="80">
        <v>70000</v>
      </c>
    </row>
    <row r="500" spans="1:9" x14ac:dyDescent="0.35">
      <c r="A500" s="2">
        <v>473</v>
      </c>
      <c r="B500" s="2">
        <v>0.81442216288715441</v>
      </c>
      <c r="C500" s="2">
        <f t="shared" si="17"/>
        <v>40</v>
      </c>
      <c r="D500" s="22">
        <v>750000</v>
      </c>
      <c r="E500" s="71">
        <v>0</v>
      </c>
      <c r="F500" s="71">
        <v>600000</v>
      </c>
      <c r="G500" s="71">
        <v>250000</v>
      </c>
      <c r="H500" s="71">
        <v>220000</v>
      </c>
      <c r="I500" s="80">
        <v>180000</v>
      </c>
    </row>
    <row r="501" spans="1:9" x14ac:dyDescent="0.35">
      <c r="A501" s="2">
        <v>474</v>
      </c>
      <c r="B501" s="2">
        <v>0.84523945510423015</v>
      </c>
      <c r="C501" s="2">
        <f t="shared" si="17"/>
        <v>40</v>
      </c>
      <c r="D501" s="22">
        <v>750000</v>
      </c>
      <c r="E501" s="71">
        <v>0</v>
      </c>
      <c r="F501" s="71">
        <v>600000</v>
      </c>
      <c r="G501" s="71">
        <v>250000</v>
      </c>
      <c r="H501" s="71">
        <v>220000</v>
      </c>
      <c r="I501" s="80">
        <v>180000</v>
      </c>
    </row>
    <row r="502" spans="1:9" x14ac:dyDescent="0.35">
      <c r="A502" s="2">
        <v>475</v>
      </c>
      <c r="B502" s="2">
        <v>0.36062020498270264</v>
      </c>
      <c r="C502" s="2">
        <f t="shared" si="17"/>
        <v>25</v>
      </c>
      <c r="D502" s="22">
        <v>625000</v>
      </c>
      <c r="E502" s="71">
        <v>85000</v>
      </c>
      <c r="F502" s="71">
        <v>600000</v>
      </c>
      <c r="G502" s="71">
        <v>0</v>
      </c>
      <c r="H502" s="71">
        <v>0</v>
      </c>
      <c r="I502" s="80">
        <v>110000</v>
      </c>
    </row>
    <row r="503" spans="1:9" x14ac:dyDescent="0.35">
      <c r="A503" s="2">
        <v>476</v>
      </c>
      <c r="B503" s="2">
        <v>0.63497737258519826</v>
      </c>
      <c r="C503" s="2">
        <f t="shared" si="17"/>
        <v>35</v>
      </c>
      <c r="D503" s="22">
        <v>750000</v>
      </c>
      <c r="E503" s="71">
        <v>0</v>
      </c>
      <c r="F503" s="71">
        <v>600000</v>
      </c>
      <c r="G503" s="71">
        <v>125000</v>
      </c>
      <c r="H503" s="71">
        <v>110000</v>
      </c>
      <c r="I503" s="80">
        <v>165000</v>
      </c>
    </row>
    <row r="504" spans="1:9" x14ac:dyDescent="0.35">
      <c r="A504" s="2">
        <v>477</v>
      </c>
      <c r="B504" s="2">
        <v>0.46006403522224071</v>
      </c>
      <c r="C504" s="2">
        <f t="shared" si="17"/>
        <v>30</v>
      </c>
      <c r="D504" s="22">
        <v>750000</v>
      </c>
      <c r="E504" s="71">
        <v>0</v>
      </c>
      <c r="F504" s="71">
        <v>600000</v>
      </c>
      <c r="G504" s="71">
        <v>0</v>
      </c>
      <c r="H504" s="71">
        <v>0</v>
      </c>
      <c r="I504" s="80">
        <v>150000</v>
      </c>
    </row>
    <row r="505" spans="1:9" x14ac:dyDescent="0.35">
      <c r="A505" s="2">
        <v>478</v>
      </c>
      <c r="B505" s="2">
        <v>0.29728796545744085</v>
      </c>
      <c r="C505" s="2">
        <f t="shared" si="17"/>
        <v>20</v>
      </c>
      <c r="D505" s="22">
        <v>500000</v>
      </c>
      <c r="E505" s="71">
        <v>170000</v>
      </c>
      <c r="F505" s="71">
        <v>600000</v>
      </c>
      <c r="G505" s="71">
        <v>0</v>
      </c>
      <c r="H505" s="71">
        <v>0</v>
      </c>
      <c r="I505" s="80">
        <v>70000</v>
      </c>
    </row>
    <row r="506" spans="1:9" x14ac:dyDescent="0.35">
      <c r="A506" s="2">
        <v>479</v>
      </c>
      <c r="B506" s="2">
        <v>0.20301701766112146</v>
      </c>
      <c r="C506" s="2">
        <f t="shared" si="17"/>
        <v>20</v>
      </c>
      <c r="D506" s="22">
        <v>500000</v>
      </c>
      <c r="E506" s="71">
        <v>170000</v>
      </c>
      <c r="F506" s="71">
        <v>600000</v>
      </c>
      <c r="G506" s="71">
        <v>0</v>
      </c>
      <c r="H506" s="71">
        <v>0</v>
      </c>
      <c r="I506" s="80">
        <v>70000</v>
      </c>
    </row>
    <row r="507" spans="1:9" x14ac:dyDescent="0.35">
      <c r="A507" s="2">
        <v>480</v>
      </c>
      <c r="B507" s="2">
        <v>0.89362667411893393</v>
      </c>
      <c r="C507" s="2">
        <f t="shared" si="17"/>
        <v>40</v>
      </c>
      <c r="D507" s="22">
        <v>750000</v>
      </c>
      <c r="E507" s="71">
        <v>0</v>
      </c>
      <c r="F507" s="71">
        <v>600000</v>
      </c>
      <c r="G507" s="71">
        <v>250000</v>
      </c>
      <c r="H507" s="71">
        <v>220000</v>
      </c>
      <c r="I507" s="80">
        <v>180000</v>
      </c>
    </row>
    <row r="508" spans="1:9" x14ac:dyDescent="0.35">
      <c r="A508" s="2">
        <v>481</v>
      </c>
      <c r="B508" s="2">
        <v>0.74652387917718788</v>
      </c>
      <c r="C508" s="2">
        <f t="shared" si="17"/>
        <v>35</v>
      </c>
      <c r="D508" s="22">
        <v>750000</v>
      </c>
      <c r="E508" s="71">
        <v>0</v>
      </c>
      <c r="F508" s="71">
        <v>600000</v>
      </c>
      <c r="G508" s="71">
        <v>125000</v>
      </c>
      <c r="H508" s="71">
        <v>110000</v>
      </c>
      <c r="I508" s="80">
        <v>165000</v>
      </c>
    </row>
    <row r="509" spans="1:9" x14ac:dyDescent="0.35">
      <c r="A509" s="2">
        <v>482</v>
      </c>
      <c r="B509" s="2">
        <v>0.86342422445228084</v>
      </c>
      <c r="C509" s="2">
        <f t="shared" si="17"/>
        <v>40</v>
      </c>
      <c r="D509" s="22">
        <v>750000</v>
      </c>
      <c r="E509" s="71">
        <v>0</v>
      </c>
      <c r="F509" s="71">
        <v>600000</v>
      </c>
      <c r="G509" s="71">
        <v>250000</v>
      </c>
      <c r="H509" s="71">
        <v>220000</v>
      </c>
      <c r="I509" s="80">
        <v>180000</v>
      </c>
    </row>
    <row r="510" spans="1:9" x14ac:dyDescent="0.35">
      <c r="A510" s="2">
        <v>483</v>
      </c>
      <c r="B510" s="2">
        <v>0.1791656647869343</v>
      </c>
      <c r="C510" s="2">
        <f t="shared" si="17"/>
        <v>20</v>
      </c>
      <c r="D510" s="22">
        <v>500000</v>
      </c>
      <c r="E510" s="71">
        <v>170000</v>
      </c>
      <c r="F510" s="71">
        <v>600000</v>
      </c>
      <c r="G510" s="71">
        <v>0</v>
      </c>
      <c r="H510" s="71">
        <v>0</v>
      </c>
      <c r="I510" s="80">
        <v>70000</v>
      </c>
    </row>
    <row r="511" spans="1:9" x14ac:dyDescent="0.35">
      <c r="A511" s="2">
        <v>484</v>
      </c>
      <c r="B511" s="2">
        <v>0.24957303495607397</v>
      </c>
      <c r="C511" s="2">
        <f t="shared" si="17"/>
        <v>20</v>
      </c>
      <c r="D511" s="22">
        <v>500000</v>
      </c>
      <c r="E511" s="71">
        <v>170000</v>
      </c>
      <c r="F511" s="71">
        <v>600000</v>
      </c>
      <c r="G511" s="71">
        <v>0</v>
      </c>
      <c r="H511" s="71">
        <v>0</v>
      </c>
      <c r="I511" s="80">
        <v>70000</v>
      </c>
    </row>
    <row r="512" spans="1:9" x14ac:dyDescent="0.35">
      <c r="A512" s="2">
        <v>485</v>
      </c>
      <c r="B512" s="2">
        <v>0.8811036082188467</v>
      </c>
      <c r="C512" s="2">
        <f t="shared" si="17"/>
        <v>40</v>
      </c>
      <c r="D512" s="22">
        <v>750000</v>
      </c>
      <c r="E512" s="71">
        <v>0</v>
      </c>
      <c r="F512" s="71">
        <v>600000</v>
      </c>
      <c r="G512" s="71">
        <v>250000</v>
      </c>
      <c r="H512" s="71">
        <v>220000</v>
      </c>
      <c r="I512" s="80">
        <v>180000</v>
      </c>
    </row>
    <row r="513" spans="1:9" x14ac:dyDescent="0.35">
      <c r="A513" s="2">
        <v>486</v>
      </c>
      <c r="B513" s="2">
        <v>0.56862595562646467</v>
      </c>
      <c r="C513" s="2">
        <f t="shared" si="17"/>
        <v>30</v>
      </c>
      <c r="D513" s="22">
        <v>750000</v>
      </c>
      <c r="E513" s="71">
        <v>0</v>
      </c>
      <c r="F513" s="71">
        <v>600000</v>
      </c>
      <c r="G513" s="71">
        <v>0</v>
      </c>
      <c r="H513" s="71">
        <v>0</v>
      </c>
      <c r="I513" s="80">
        <v>150000</v>
      </c>
    </row>
    <row r="514" spans="1:9" x14ac:dyDescent="0.35">
      <c r="A514" s="2">
        <v>487</v>
      </c>
      <c r="B514" s="2">
        <v>0.85015165225144318</v>
      </c>
      <c r="C514" s="2">
        <f t="shared" si="17"/>
        <v>40</v>
      </c>
      <c r="D514" s="22">
        <v>750000</v>
      </c>
      <c r="E514" s="71">
        <v>0</v>
      </c>
      <c r="F514" s="71">
        <v>600000</v>
      </c>
      <c r="G514" s="71">
        <v>250000</v>
      </c>
      <c r="H514" s="71">
        <v>220000</v>
      </c>
      <c r="I514" s="80">
        <v>180000</v>
      </c>
    </row>
    <row r="515" spans="1:9" x14ac:dyDescent="0.35">
      <c r="A515" s="2">
        <v>488</v>
      </c>
      <c r="B515" s="2">
        <v>0.73769920847527382</v>
      </c>
      <c r="C515" s="2">
        <f t="shared" si="17"/>
        <v>35</v>
      </c>
      <c r="D515" s="22">
        <v>750000</v>
      </c>
      <c r="E515" s="71">
        <v>0</v>
      </c>
      <c r="F515" s="71">
        <v>600000</v>
      </c>
      <c r="G515" s="71">
        <v>125000</v>
      </c>
      <c r="H515" s="71">
        <v>110000</v>
      </c>
      <c r="I515" s="80">
        <v>165000</v>
      </c>
    </row>
    <row r="516" spans="1:9" x14ac:dyDescent="0.35">
      <c r="A516" s="2">
        <v>489</v>
      </c>
      <c r="B516" s="2">
        <v>0.13355314667350893</v>
      </c>
      <c r="C516" s="2">
        <f t="shared" si="17"/>
        <v>20</v>
      </c>
      <c r="D516" s="22">
        <v>500000</v>
      </c>
      <c r="E516" s="71">
        <v>170000</v>
      </c>
      <c r="F516" s="71">
        <v>600000</v>
      </c>
      <c r="G516" s="71">
        <v>0</v>
      </c>
      <c r="H516" s="71">
        <v>0</v>
      </c>
      <c r="I516" s="80">
        <v>70000</v>
      </c>
    </row>
    <row r="517" spans="1:9" x14ac:dyDescent="0.35">
      <c r="A517" s="2">
        <v>490</v>
      </c>
      <c r="B517" s="2">
        <v>8.2102204470296036E-2</v>
      </c>
      <c r="C517" s="2">
        <f t="shared" si="17"/>
        <v>20</v>
      </c>
      <c r="D517" s="22">
        <v>500000</v>
      </c>
      <c r="E517" s="71">
        <v>170000</v>
      </c>
      <c r="F517" s="71">
        <v>600000</v>
      </c>
      <c r="G517" s="71">
        <v>0</v>
      </c>
      <c r="H517" s="71">
        <v>0</v>
      </c>
      <c r="I517" s="80">
        <v>70000</v>
      </c>
    </row>
    <row r="518" spans="1:9" x14ac:dyDescent="0.35">
      <c r="A518" s="2">
        <v>491</v>
      </c>
      <c r="B518" s="2">
        <v>0.6032069377146233</v>
      </c>
      <c r="C518" s="2">
        <f t="shared" si="17"/>
        <v>35</v>
      </c>
      <c r="D518" s="22">
        <v>750000</v>
      </c>
      <c r="E518" s="71">
        <v>0</v>
      </c>
      <c r="F518" s="71">
        <v>600000</v>
      </c>
      <c r="G518" s="71">
        <v>125000</v>
      </c>
      <c r="H518" s="71">
        <v>110000</v>
      </c>
      <c r="I518" s="80">
        <v>165000</v>
      </c>
    </row>
    <row r="519" spans="1:9" x14ac:dyDescent="0.35">
      <c r="A519" s="2">
        <v>492</v>
      </c>
      <c r="B519" s="2">
        <v>0.74975519505921906</v>
      </c>
      <c r="C519" s="2">
        <f t="shared" si="17"/>
        <v>35</v>
      </c>
      <c r="D519" s="22">
        <v>750000</v>
      </c>
      <c r="E519" s="71">
        <v>0</v>
      </c>
      <c r="F519" s="71">
        <v>600000</v>
      </c>
      <c r="G519" s="71">
        <v>125000</v>
      </c>
      <c r="H519" s="71">
        <v>110000</v>
      </c>
      <c r="I519" s="80">
        <v>165000</v>
      </c>
    </row>
    <row r="520" spans="1:9" x14ac:dyDescent="0.35">
      <c r="A520" s="2">
        <v>493</v>
      </c>
      <c r="B520" s="2">
        <v>0.69044421142638646</v>
      </c>
      <c r="C520" s="2">
        <f t="shared" si="17"/>
        <v>35</v>
      </c>
      <c r="D520" s="22">
        <v>750000</v>
      </c>
      <c r="E520" s="71">
        <v>0</v>
      </c>
      <c r="F520" s="71">
        <v>600000</v>
      </c>
      <c r="G520" s="71">
        <v>125000</v>
      </c>
      <c r="H520" s="71">
        <v>110000</v>
      </c>
      <c r="I520" s="80">
        <v>165000</v>
      </c>
    </row>
    <row r="521" spans="1:9" x14ac:dyDescent="0.35">
      <c r="A521" s="2">
        <v>494</v>
      </c>
      <c r="B521" s="2">
        <v>0.2746707563227887</v>
      </c>
      <c r="C521" s="2">
        <f t="shared" si="17"/>
        <v>20</v>
      </c>
      <c r="D521" s="22">
        <v>500000</v>
      </c>
      <c r="E521" s="71">
        <v>170000</v>
      </c>
      <c r="F521" s="71">
        <v>600000</v>
      </c>
      <c r="G521" s="71">
        <v>0</v>
      </c>
      <c r="H521" s="71">
        <v>0</v>
      </c>
      <c r="I521" s="80">
        <v>70000</v>
      </c>
    </row>
    <row r="522" spans="1:9" x14ac:dyDescent="0.35">
      <c r="A522" s="2">
        <v>495</v>
      </c>
      <c r="B522" s="2">
        <v>0.75125983159982967</v>
      </c>
      <c r="C522" s="2">
        <f t="shared" si="17"/>
        <v>35</v>
      </c>
      <c r="D522" s="22">
        <v>750000</v>
      </c>
      <c r="E522" s="71">
        <v>0</v>
      </c>
      <c r="F522" s="71">
        <v>600000</v>
      </c>
      <c r="G522" s="71">
        <v>125000</v>
      </c>
      <c r="H522" s="71">
        <v>110000</v>
      </c>
      <c r="I522" s="80">
        <v>165000</v>
      </c>
    </row>
    <row r="523" spans="1:9" x14ac:dyDescent="0.35">
      <c r="A523" s="2">
        <v>496</v>
      </c>
      <c r="B523" s="2">
        <v>6.6823727502634656E-2</v>
      </c>
      <c r="C523" s="2">
        <f t="shared" si="17"/>
        <v>20</v>
      </c>
      <c r="D523" s="22">
        <v>500000</v>
      </c>
      <c r="E523" s="71">
        <v>170000</v>
      </c>
      <c r="F523" s="71">
        <v>600000</v>
      </c>
      <c r="G523" s="71">
        <v>0</v>
      </c>
      <c r="H523" s="71">
        <v>0</v>
      </c>
      <c r="I523" s="80">
        <v>70000</v>
      </c>
    </row>
    <row r="524" spans="1:9" x14ac:dyDescent="0.35">
      <c r="A524" s="2">
        <v>497</v>
      </c>
      <c r="B524" s="2">
        <v>0.843597122702896</v>
      </c>
      <c r="C524" s="2">
        <f t="shared" si="17"/>
        <v>40</v>
      </c>
      <c r="D524" s="22">
        <v>750000</v>
      </c>
      <c r="E524" s="71">
        <v>0</v>
      </c>
      <c r="F524" s="71">
        <v>600000</v>
      </c>
      <c r="G524" s="71">
        <v>250000</v>
      </c>
      <c r="H524" s="71">
        <v>220000</v>
      </c>
      <c r="I524" s="80">
        <v>180000</v>
      </c>
    </row>
    <row r="525" spans="1:9" x14ac:dyDescent="0.35">
      <c r="A525" s="2">
        <v>498</v>
      </c>
      <c r="B525" s="2">
        <v>0.22968543009237063</v>
      </c>
      <c r="C525" s="2">
        <f t="shared" si="17"/>
        <v>20</v>
      </c>
      <c r="D525" s="22">
        <v>500000</v>
      </c>
      <c r="E525" s="71">
        <v>170000</v>
      </c>
      <c r="F525" s="71">
        <v>600000</v>
      </c>
      <c r="G525" s="71">
        <v>0</v>
      </c>
      <c r="H525" s="71">
        <v>0</v>
      </c>
      <c r="I525" s="80">
        <v>70000</v>
      </c>
    </row>
    <row r="526" spans="1:9" x14ac:dyDescent="0.35">
      <c r="A526" s="2">
        <v>499</v>
      </c>
      <c r="B526" s="2">
        <v>0.38566309264823628</v>
      </c>
      <c r="C526" s="2">
        <f t="shared" si="17"/>
        <v>25</v>
      </c>
      <c r="D526" s="22">
        <v>625000</v>
      </c>
      <c r="E526" s="71">
        <v>85000</v>
      </c>
      <c r="F526" s="71">
        <v>600000</v>
      </c>
      <c r="G526" s="71">
        <v>0</v>
      </c>
      <c r="H526" s="71">
        <v>0</v>
      </c>
      <c r="I526" s="80">
        <v>110000</v>
      </c>
    </row>
    <row r="527" spans="1:9" ht="15" thickBot="1" x14ac:dyDescent="0.4">
      <c r="A527" s="2">
        <v>500</v>
      </c>
      <c r="B527" s="2">
        <v>0.28837500041766284</v>
      </c>
      <c r="C527" s="2">
        <f t="shared" si="17"/>
        <v>20</v>
      </c>
      <c r="D527" s="23">
        <v>500000</v>
      </c>
      <c r="E527" s="24">
        <v>170000</v>
      </c>
      <c r="F527" s="24">
        <v>600000</v>
      </c>
      <c r="G527" s="24">
        <v>0</v>
      </c>
      <c r="H527" s="24">
        <v>0</v>
      </c>
      <c r="I527" s="81">
        <v>70000</v>
      </c>
    </row>
  </sheetData>
  <mergeCells count="2">
    <mergeCell ref="J26:N33"/>
    <mergeCell ref="E15:K15"/>
  </mergeCells>
  <phoneticPr fontId="0" type="noConversion"/>
  <conditionalFormatting sqref="I27:I527">
    <cfRule type="colorScale" priority="1">
      <colorScale>
        <cfvo type="min"/>
        <cfvo type="percentile" val="50"/>
        <cfvo type="max"/>
        <color rgb="FFF8696B"/>
        <color rgb="FFFFEB84"/>
        <color rgb="FF63BE7B"/>
      </colorScale>
    </cfRule>
  </conditionalFormatting>
  <printOptions headings="1" gridLines="1" gridLinesSet="0"/>
  <pageMargins left="0.75" right="0.75" top="1" bottom="1" header="0.5" footer="0.5"/>
  <pageSetup orientation="portrait" horizontalDpi="4294967292" r:id="rId1"/>
  <headerFooter alignWithMargins="0">
    <oddFooter>&amp;CProblem 12.4</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DF82-4523-4361-BAC8-22E8436891E0}">
  <sheetPr>
    <pageSetUpPr fitToPage="1"/>
  </sheetPr>
  <dimension ref="A1:AB527"/>
  <sheetViews>
    <sheetView topLeftCell="A9" zoomScale="60" zoomScaleNormal="60" workbookViewId="0">
      <selection activeCell="M12" sqref="M12:X23"/>
    </sheetView>
  </sheetViews>
  <sheetFormatPr defaultColWidth="9.1796875" defaultRowHeight="14.5" x14ac:dyDescent="0.35"/>
  <cols>
    <col min="1" max="1" width="23.7265625" style="2" customWidth="1"/>
    <col min="2" max="2" width="21" style="2" bestFit="1" customWidth="1"/>
    <col min="3" max="3" width="13.36328125" style="2" customWidth="1"/>
    <col min="4" max="4" width="14.26953125" style="2" customWidth="1"/>
    <col min="5" max="5" width="20.36328125" style="2" bestFit="1" customWidth="1"/>
    <col min="6" max="6" width="29.26953125" style="2" bestFit="1" customWidth="1"/>
    <col min="7" max="7" width="28.26953125" style="2" bestFit="1" customWidth="1"/>
    <col min="8" max="8" width="19.90625" style="2" bestFit="1" customWidth="1"/>
    <col min="9" max="9" width="16.54296875" style="2" bestFit="1" customWidth="1"/>
    <col min="10" max="10" width="15.26953125" style="2" bestFit="1" customWidth="1"/>
    <col min="11" max="11" width="13" style="2" customWidth="1"/>
    <col min="12" max="12" width="12.453125" style="2" customWidth="1"/>
    <col min="13" max="13" width="11.90625" style="2" customWidth="1"/>
    <col min="14" max="17" width="14" style="2" bestFit="1" customWidth="1"/>
    <col min="18" max="18" width="13.90625" style="2" bestFit="1" customWidth="1"/>
    <col min="19" max="21" width="14" style="2" bestFit="1" customWidth="1"/>
    <col min="22" max="24" width="13.90625" style="2" bestFit="1" customWidth="1"/>
    <col min="25" max="28" width="13.6328125" style="2" bestFit="1" customWidth="1"/>
    <col min="29" max="16384" width="9.1796875" style="2"/>
  </cols>
  <sheetData>
    <row r="1" spans="1:28" x14ac:dyDescent="0.35">
      <c r="A1" s="1" t="s">
        <v>12</v>
      </c>
      <c r="B1" s="1"/>
    </row>
    <row r="2" spans="1:28" ht="15" thickBot="1" x14ac:dyDescent="0.4"/>
    <row r="3" spans="1:28" ht="15" thickBot="1" x14ac:dyDescent="0.4">
      <c r="A3" s="1" t="s">
        <v>0</v>
      </c>
      <c r="H3" s="57" t="s">
        <v>37</v>
      </c>
      <c r="I3" s="58"/>
      <c r="J3" s="58"/>
      <c r="K3" s="58"/>
      <c r="L3" s="58"/>
      <c r="M3" s="58"/>
      <c r="N3" s="58"/>
      <c r="O3" s="58"/>
      <c r="P3" s="58"/>
      <c r="Q3" s="58"/>
      <c r="R3" s="58"/>
      <c r="S3" s="58"/>
      <c r="T3" s="58"/>
      <c r="U3" s="58"/>
      <c r="V3" s="58"/>
      <c r="W3" s="58"/>
      <c r="X3" s="58"/>
      <c r="Y3" s="58"/>
      <c r="Z3" s="58"/>
      <c r="AA3" s="58"/>
      <c r="AB3" s="59"/>
    </row>
    <row r="4" spans="1:28" ht="15" thickBot="1" x14ac:dyDescent="0.4">
      <c r="A4" t="s">
        <v>14</v>
      </c>
      <c r="B4" s="3">
        <v>25000</v>
      </c>
      <c r="D4" s="4"/>
      <c r="E4" s="2" t="s">
        <v>13</v>
      </c>
      <c r="F4" s="4"/>
      <c r="G4" s="40" t="s">
        <v>11</v>
      </c>
      <c r="H4" s="39">
        <v>20</v>
      </c>
      <c r="I4" s="39">
        <f>H4+1</f>
        <v>21</v>
      </c>
      <c r="J4" s="39">
        <f t="shared" ref="J4:AA4" si="0">I4+1</f>
        <v>22</v>
      </c>
      <c r="K4" s="39">
        <f t="shared" si="0"/>
        <v>23</v>
      </c>
      <c r="L4" s="39">
        <f t="shared" si="0"/>
        <v>24</v>
      </c>
      <c r="M4" s="39">
        <f t="shared" si="0"/>
        <v>25</v>
      </c>
      <c r="N4" s="39">
        <f t="shared" si="0"/>
        <v>26</v>
      </c>
      <c r="O4" s="39">
        <f t="shared" si="0"/>
        <v>27</v>
      </c>
      <c r="P4" s="39">
        <f t="shared" si="0"/>
        <v>28</v>
      </c>
      <c r="Q4" s="39">
        <f t="shared" si="0"/>
        <v>29</v>
      </c>
      <c r="R4" s="39">
        <f t="shared" si="0"/>
        <v>30</v>
      </c>
      <c r="S4" s="39">
        <f t="shared" si="0"/>
        <v>31</v>
      </c>
      <c r="T4" s="39">
        <f t="shared" si="0"/>
        <v>32</v>
      </c>
      <c r="U4" s="39">
        <f t="shared" si="0"/>
        <v>33</v>
      </c>
      <c r="V4" s="39">
        <f t="shared" si="0"/>
        <v>34</v>
      </c>
      <c r="W4" s="39">
        <f t="shared" si="0"/>
        <v>35</v>
      </c>
      <c r="X4" s="39">
        <f t="shared" si="0"/>
        <v>36</v>
      </c>
      <c r="Y4" s="39">
        <f t="shared" si="0"/>
        <v>37</v>
      </c>
      <c r="Z4" s="39">
        <f t="shared" si="0"/>
        <v>38</v>
      </c>
      <c r="AA4" s="39">
        <f t="shared" si="0"/>
        <v>39</v>
      </c>
      <c r="AB4" s="39">
        <f>AA4+1</f>
        <v>40</v>
      </c>
    </row>
    <row r="5" spans="1:28" ht="15" thickBot="1" x14ac:dyDescent="0.4">
      <c r="A5" s="2" t="s">
        <v>4</v>
      </c>
      <c r="B5" s="3">
        <v>20000</v>
      </c>
      <c r="D5" s="11"/>
      <c r="E5" s="5"/>
      <c r="F5" s="6"/>
      <c r="G5" s="42" t="s">
        <v>35</v>
      </c>
      <c r="H5" s="46">
        <f>AVERAGE(D28:D527)</f>
        <v>125787.72212863858</v>
      </c>
      <c r="I5" s="47">
        <f t="shared" ref="I5:AB5" si="1">AVERAGE(E28:E527)</f>
        <v>126989.20516803928</v>
      </c>
      <c r="J5" s="47">
        <f t="shared" si="1"/>
        <v>128084.35639676919</v>
      </c>
      <c r="K5" s="47">
        <f t="shared" si="1"/>
        <v>129078.80242112844</v>
      </c>
      <c r="L5" s="47">
        <f t="shared" si="1"/>
        <v>129841.5193544709</v>
      </c>
      <c r="M5" s="47">
        <f t="shared" si="1"/>
        <v>130406.66905927476</v>
      </c>
      <c r="N5" s="47">
        <f t="shared" si="1"/>
        <v>130786.97302128767</v>
      </c>
      <c r="O5" s="47">
        <f t="shared" si="1"/>
        <v>130950.00489638574</v>
      </c>
      <c r="P5" s="47">
        <f t="shared" si="1"/>
        <v>130899.83944763675</v>
      </c>
      <c r="Q5" s="47">
        <f t="shared" si="1"/>
        <v>130679.96441270931</v>
      </c>
      <c r="R5" s="47">
        <f t="shared" si="1"/>
        <v>130250.96929334477</v>
      </c>
      <c r="S5" s="47">
        <f t="shared" si="1"/>
        <v>129673.65473902835</v>
      </c>
      <c r="T5" s="47">
        <f t="shared" si="1"/>
        <v>128892.60451020297</v>
      </c>
      <c r="U5" s="47">
        <f t="shared" si="1"/>
        <v>127822.24309579293</v>
      </c>
      <c r="V5" s="47">
        <f t="shared" si="1"/>
        <v>126564.68958126327</v>
      </c>
      <c r="W5" s="47">
        <f t="shared" si="1"/>
        <v>125138.4402236497</v>
      </c>
      <c r="X5" s="47">
        <f t="shared" si="1"/>
        <v>123535.56788099036</v>
      </c>
      <c r="Y5" s="47">
        <f t="shared" si="1"/>
        <v>121821.17379522005</v>
      </c>
      <c r="Z5" s="47">
        <f t="shared" si="1"/>
        <v>119970.1661768826</v>
      </c>
      <c r="AA5" s="47">
        <f t="shared" si="1"/>
        <v>117980.1215406385</v>
      </c>
      <c r="AB5" s="48">
        <f t="shared" si="1"/>
        <v>115810.43779509432</v>
      </c>
    </row>
    <row r="6" spans="1:28" ht="15" thickBot="1" x14ac:dyDescent="0.4">
      <c r="A6" s="2" t="s">
        <v>5</v>
      </c>
      <c r="B6" s="3">
        <v>22000</v>
      </c>
      <c r="D6" s="11"/>
      <c r="E6" s="5" t="s">
        <v>18</v>
      </c>
      <c r="F6" s="12">
        <v>30</v>
      </c>
      <c r="G6" s="43" t="s">
        <v>38</v>
      </c>
      <c r="H6" s="46">
        <f>_xlfn.STDEV.S(D28:D527)</f>
        <v>40437.726065483272</v>
      </c>
      <c r="I6" s="47">
        <f t="shared" ref="I6:AB6" si="2">_xlfn.STDEV.S(E28:E527)</f>
        <v>41825.49860425057</v>
      </c>
      <c r="J6" s="47">
        <f t="shared" si="2"/>
        <v>43303.733793623484</v>
      </c>
      <c r="K6" s="47">
        <f t="shared" si="2"/>
        <v>44859.862249953294</v>
      </c>
      <c r="L6" s="47">
        <f t="shared" si="2"/>
        <v>46525.513007584806</v>
      </c>
      <c r="M6" s="47">
        <f t="shared" si="2"/>
        <v>48277.413378555961</v>
      </c>
      <c r="N6" s="47">
        <f t="shared" si="2"/>
        <v>50092.184805798672</v>
      </c>
      <c r="O6" s="47">
        <f t="shared" si="2"/>
        <v>51956.740496185892</v>
      </c>
      <c r="P6" s="47">
        <f t="shared" si="2"/>
        <v>53851.071020866773</v>
      </c>
      <c r="Q6" s="47">
        <f t="shared" si="2"/>
        <v>55762.329343183585</v>
      </c>
      <c r="R6" s="47">
        <f t="shared" si="2"/>
        <v>57667.784294243007</v>
      </c>
      <c r="S6" s="47">
        <f t="shared" si="2"/>
        <v>59567.567503212558</v>
      </c>
      <c r="T6" s="47">
        <f t="shared" si="2"/>
        <v>61423.589368460693</v>
      </c>
      <c r="U6" s="47">
        <f t="shared" si="2"/>
        <v>63179.026270231923</v>
      </c>
      <c r="V6" s="47">
        <f t="shared" si="2"/>
        <v>64870.44393557038</v>
      </c>
      <c r="W6" s="47">
        <f t="shared" si="2"/>
        <v>66491.552171570162</v>
      </c>
      <c r="X6" s="47">
        <f t="shared" si="2"/>
        <v>68022.131603662245</v>
      </c>
      <c r="Y6" s="47">
        <f t="shared" si="2"/>
        <v>69498.846500436644</v>
      </c>
      <c r="Z6" s="47">
        <f t="shared" si="2"/>
        <v>70887.908414581296</v>
      </c>
      <c r="AA6" s="47">
        <f t="shared" si="2"/>
        <v>72172.893973491795</v>
      </c>
      <c r="AB6" s="48">
        <f t="shared" si="2"/>
        <v>73298.456959763382</v>
      </c>
    </row>
    <row r="7" spans="1:28" ht="15" thickBot="1" x14ac:dyDescent="0.4">
      <c r="A7" s="2" t="s">
        <v>6</v>
      </c>
      <c r="B7" s="3">
        <v>17000</v>
      </c>
      <c r="D7" s="11"/>
      <c r="E7" s="5"/>
      <c r="F7" s="12"/>
      <c r="G7" s="43" t="s">
        <v>39</v>
      </c>
      <c r="H7" s="46">
        <f>MIN(D28:D527)</f>
        <v>-28836.07130104024</v>
      </c>
      <c r="I7" s="47">
        <f t="shared" ref="I7:AB7" si="3">MIN(E28:E527)</f>
        <v>-31836.07130104024</v>
      </c>
      <c r="J7" s="47">
        <f t="shared" si="3"/>
        <v>-34836.07130104024</v>
      </c>
      <c r="K7" s="47">
        <f t="shared" si="3"/>
        <v>-37836.07130104024</v>
      </c>
      <c r="L7" s="47">
        <f t="shared" si="3"/>
        <v>-40836.07130104024</v>
      </c>
      <c r="M7" s="47">
        <f t="shared" si="3"/>
        <v>-43836.07130104024</v>
      </c>
      <c r="N7" s="47">
        <f t="shared" si="3"/>
        <v>-46836.07130104024</v>
      </c>
      <c r="O7" s="47">
        <f t="shared" si="3"/>
        <v>-49836.07130104024</v>
      </c>
      <c r="P7" s="47">
        <f t="shared" si="3"/>
        <v>-52836.07130104024</v>
      </c>
      <c r="Q7" s="47">
        <f t="shared" si="3"/>
        <v>-55836.07130104024</v>
      </c>
      <c r="R7" s="47">
        <f t="shared" si="3"/>
        <v>-58836.07130104024</v>
      </c>
      <c r="S7" s="47">
        <f t="shared" si="3"/>
        <v>-61836.07130104024</v>
      </c>
      <c r="T7" s="47">
        <f t="shared" si="3"/>
        <v>-64836.07130104024</v>
      </c>
      <c r="U7" s="47">
        <f t="shared" si="3"/>
        <v>-67836.07130104024</v>
      </c>
      <c r="V7" s="47">
        <f t="shared" si="3"/>
        <v>-70836.07130104024</v>
      </c>
      <c r="W7" s="47">
        <f t="shared" si="3"/>
        <v>-73836.07130104024</v>
      </c>
      <c r="X7" s="47">
        <f t="shared" si="3"/>
        <v>-76836.07130104024</v>
      </c>
      <c r="Y7" s="47">
        <f t="shared" si="3"/>
        <v>-79836.07130104024</v>
      </c>
      <c r="Z7" s="47">
        <f t="shared" si="3"/>
        <v>-82836.07130104024</v>
      </c>
      <c r="AA7" s="47">
        <f t="shared" si="3"/>
        <v>-85836.07130104024</v>
      </c>
      <c r="AB7" s="48">
        <f t="shared" si="3"/>
        <v>-88836.07130104024</v>
      </c>
    </row>
    <row r="8" spans="1:28" x14ac:dyDescent="0.35">
      <c r="A8" s="1" t="s">
        <v>20</v>
      </c>
      <c r="B8" s="7"/>
      <c r="D8" s="11"/>
      <c r="E8" s="5" t="s">
        <v>19</v>
      </c>
      <c r="F8" s="12">
        <v>10</v>
      </c>
      <c r="G8" s="43" t="s">
        <v>40</v>
      </c>
      <c r="H8" s="19">
        <f>MAX(D28:D527)</f>
        <v>243433.73157970887</v>
      </c>
      <c r="I8" s="20">
        <f t="shared" ref="I8:AB8" si="4">MAX(E28:E527)</f>
        <v>245433.73157970887</v>
      </c>
      <c r="J8" s="20">
        <f t="shared" si="4"/>
        <v>247433.73157970887</v>
      </c>
      <c r="K8" s="20">
        <f t="shared" si="4"/>
        <v>249433.73157970887</v>
      </c>
      <c r="L8" s="20">
        <f t="shared" si="4"/>
        <v>251433.73157970887</v>
      </c>
      <c r="M8" s="20">
        <f t="shared" si="4"/>
        <v>253433.73157970887</v>
      </c>
      <c r="N8" s="20">
        <f t="shared" si="4"/>
        <v>255433.7315797091</v>
      </c>
      <c r="O8" s="20">
        <f t="shared" si="4"/>
        <v>257433.7315797091</v>
      </c>
      <c r="P8" s="20">
        <f t="shared" si="4"/>
        <v>259433.7315797091</v>
      </c>
      <c r="Q8" s="20">
        <f t="shared" si="4"/>
        <v>261433.7315797091</v>
      </c>
      <c r="R8" s="20">
        <f t="shared" si="4"/>
        <v>263433.7315797091</v>
      </c>
      <c r="S8" s="20">
        <f t="shared" si="4"/>
        <v>265433.7315797091</v>
      </c>
      <c r="T8" s="20">
        <f t="shared" si="4"/>
        <v>267433.7315797091</v>
      </c>
      <c r="U8" s="20">
        <f t="shared" si="4"/>
        <v>269433.7315797091</v>
      </c>
      <c r="V8" s="20">
        <f t="shared" si="4"/>
        <v>271433.7315797091</v>
      </c>
      <c r="W8" s="20">
        <f t="shared" si="4"/>
        <v>273433.7315797091</v>
      </c>
      <c r="X8" s="20">
        <f t="shared" si="4"/>
        <v>275433.7315797091</v>
      </c>
      <c r="Y8" s="20">
        <f t="shared" si="4"/>
        <v>277433.7315797091</v>
      </c>
      <c r="Z8" s="20">
        <f t="shared" si="4"/>
        <v>279433.7315797091</v>
      </c>
      <c r="AA8" s="20">
        <f t="shared" si="4"/>
        <v>281433.7315797091</v>
      </c>
      <c r="AB8" s="21">
        <f t="shared" si="4"/>
        <v>283433.7315797091</v>
      </c>
    </row>
    <row r="9" spans="1:28" ht="15" thickBot="1" x14ac:dyDescent="0.4">
      <c r="A9" s="2" t="s">
        <v>7</v>
      </c>
      <c r="B9" s="8">
        <v>40</v>
      </c>
      <c r="D9" s="11"/>
      <c r="E9" s="5"/>
      <c r="F9" s="6"/>
      <c r="G9" s="44"/>
      <c r="H9" s="30"/>
      <c r="I9" s="31"/>
      <c r="J9" s="31"/>
      <c r="K9" s="31"/>
      <c r="L9" s="31"/>
      <c r="M9" s="31"/>
      <c r="N9" s="31"/>
      <c r="O9" s="31"/>
      <c r="P9" s="31"/>
      <c r="Q9" s="31"/>
      <c r="R9" s="31"/>
      <c r="S9" s="31"/>
      <c r="T9" s="31"/>
      <c r="U9" s="31"/>
      <c r="V9" s="31"/>
      <c r="W9" s="31"/>
      <c r="X9" s="31"/>
      <c r="Y9" s="31"/>
      <c r="Z9" s="31"/>
      <c r="AA9" s="31"/>
      <c r="AB9" s="45"/>
    </row>
    <row r="10" spans="1:28" x14ac:dyDescent="0.35">
      <c r="A10" s="1" t="s">
        <v>21</v>
      </c>
      <c r="B10" s="7"/>
      <c r="D10" s="11"/>
    </row>
    <row r="11" spans="1:28" ht="15" thickBot="1" x14ac:dyDescent="0.4">
      <c r="A11" s="2" t="s">
        <v>3</v>
      </c>
      <c r="B11" s="10">
        <v>30</v>
      </c>
      <c r="H11"/>
      <c r="I11" s="13"/>
      <c r="J11" s="13"/>
      <c r="K11" s="13"/>
      <c r="L11" s="13"/>
      <c r="M11" s="13"/>
    </row>
    <row r="12" spans="1:28" x14ac:dyDescent="0.35">
      <c r="M12" s="60" t="s">
        <v>43</v>
      </c>
      <c r="N12" s="61"/>
      <c r="O12" s="61"/>
      <c r="P12" s="61"/>
      <c r="Q12" s="61"/>
      <c r="R12" s="61"/>
      <c r="S12" s="61"/>
      <c r="T12" s="61"/>
      <c r="U12" s="61"/>
      <c r="V12" s="61"/>
      <c r="W12" s="61"/>
      <c r="X12" s="62"/>
    </row>
    <row r="13" spans="1:28" x14ac:dyDescent="0.35">
      <c r="A13" s="1" t="s">
        <v>15</v>
      </c>
      <c r="M13" s="63"/>
      <c r="N13" s="64"/>
      <c r="O13" s="64"/>
      <c r="P13" s="64"/>
      <c r="Q13" s="64"/>
      <c r="R13" s="64"/>
      <c r="S13" s="64"/>
      <c r="T13" s="64"/>
      <c r="U13" s="64"/>
      <c r="V13" s="64"/>
      <c r="W13" s="64"/>
      <c r="X13" s="65"/>
    </row>
    <row r="14" spans="1:28" x14ac:dyDescent="0.35">
      <c r="A14" t="s">
        <v>16</v>
      </c>
      <c r="B14" s="2">
        <f>MAX(B11-B9,0)</f>
        <v>0</v>
      </c>
      <c r="C14" s="2" t="str">
        <f ca="1">_xlfn.FORMULATEXT(B14)</f>
        <v>=MAX(B11-B9,0)</v>
      </c>
      <c r="M14" s="63"/>
      <c r="N14" s="64"/>
      <c r="O14" s="64"/>
      <c r="P14" s="64"/>
      <c r="Q14" s="64"/>
      <c r="R14" s="64"/>
      <c r="S14" s="64"/>
      <c r="T14" s="64"/>
      <c r="U14" s="64"/>
      <c r="V14" s="64"/>
      <c r="W14" s="64"/>
      <c r="X14" s="65"/>
    </row>
    <row r="15" spans="1:28" x14ac:dyDescent="0.35">
      <c r="A15" t="s">
        <v>17</v>
      </c>
      <c r="B15" s="2">
        <f>MAX(B9-B11,0)</f>
        <v>10</v>
      </c>
      <c r="C15" s="2" t="str">
        <f ca="1">_xlfn.FORMULATEXT(B15)</f>
        <v>=MAX(B9-B11,0)</v>
      </c>
      <c r="M15" s="63"/>
      <c r="N15" s="64"/>
      <c r="O15" s="64"/>
      <c r="P15" s="64"/>
      <c r="Q15" s="64"/>
      <c r="R15" s="64"/>
      <c r="S15" s="64"/>
      <c r="T15" s="64"/>
      <c r="U15" s="64"/>
      <c r="V15" s="64"/>
      <c r="W15" s="64"/>
      <c r="X15" s="65"/>
    </row>
    <row r="16" spans="1:28" x14ac:dyDescent="0.35">
      <c r="A16" t="s">
        <v>33</v>
      </c>
      <c r="B16" s="2">
        <f>MIN(B9,B11)</f>
        <v>30</v>
      </c>
      <c r="C16" s="2" t="str">
        <f ca="1">_xlfn.FORMULATEXT(B16)</f>
        <v>=MIN(B9,B11)</v>
      </c>
      <c r="M16" s="63"/>
      <c r="N16" s="64"/>
      <c r="O16" s="64"/>
      <c r="P16" s="64"/>
      <c r="Q16" s="64"/>
      <c r="R16" s="64"/>
      <c r="S16" s="64"/>
      <c r="T16" s="64"/>
      <c r="U16" s="64"/>
      <c r="V16" s="64"/>
      <c r="W16" s="64"/>
      <c r="X16" s="65"/>
    </row>
    <row r="17" spans="1:24" x14ac:dyDescent="0.35">
      <c r="A17"/>
      <c r="M17" s="63"/>
      <c r="N17" s="64"/>
      <c r="O17" s="64"/>
      <c r="P17" s="64"/>
      <c r="Q17" s="64"/>
      <c r="R17" s="64"/>
      <c r="S17" s="64"/>
      <c r="T17" s="64"/>
      <c r="U17" s="64"/>
      <c r="V17" s="64"/>
      <c r="W17" s="64"/>
      <c r="X17" s="65"/>
    </row>
    <row r="18" spans="1:24" ht="15" thickBot="1" x14ac:dyDescent="0.4">
      <c r="G18" s="7"/>
      <c r="M18" s="63"/>
      <c r="N18" s="64"/>
      <c r="O18" s="64"/>
      <c r="P18" s="64"/>
      <c r="Q18" s="64"/>
      <c r="R18" s="64"/>
      <c r="S18" s="64"/>
      <c r="T18" s="64"/>
      <c r="U18" s="64"/>
      <c r="V18" s="64"/>
      <c r="W18" s="64"/>
      <c r="X18" s="65"/>
    </row>
    <row r="19" spans="1:24" ht="15" thickBot="1" x14ac:dyDescent="0.4">
      <c r="A19" s="2" t="s">
        <v>8</v>
      </c>
      <c r="B19" s="7">
        <f>MIN(B9,B11)*B4</f>
        <v>750000</v>
      </c>
      <c r="C19" s="2" t="str">
        <f t="shared" ref="C19:C23" ca="1" si="5">_xlfn.FORMULATEXT(B19)</f>
        <v>=MIN(B9,B11)*B4</v>
      </c>
      <c r="E19" s="32" t="str">
        <f>A19</f>
        <v>Fullprice Sales revenue</v>
      </c>
      <c r="F19" s="89" t="str">
        <f>A20</f>
        <v>Salvage Revenue</v>
      </c>
      <c r="G19" s="89" t="str">
        <f>A21</f>
        <v>Initial Order Cost</v>
      </c>
      <c r="H19" s="89" t="str">
        <f>A22</f>
        <v>ReOrder Revenue</v>
      </c>
      <c r="I19" s="89" t="str">
        <f>A23</f>
        <v>Reorder Cost</v>
      </c>
      <c r="J19" s="33" t="str">
        <f>A24</f>
        <v>Profit</v>
      </c>
      <c r="M19" s="63"/>
      <c r="N19" s="64"/>
      <c r="O19" s="64"/>
      <c r="P19" s="64"/>
      <c r="Q19" s="64"/>
      <c r="R19" s="64"/>
      <c r="S19" s="64"/>
      <c r="T19" s="64"/>
      <c r="U19" s="64"/>
      <c r="V19" s="64"/>
      <c r="W19" s="64"/>
      <c r="X19" s="65"/>
    </row>
    <row r="20" spans="1:24" ht="15" thickBot="1" x14ac:dyDescent="0.4">
      <c r="A20" s="2" t="s">
        <v>42</v>
      </c>
      <c r="B20" s="7">
        <f>B15*B7</f>
        <v>170000</v>
      </c>
      <c r="C20" s="2" t="str">
        <f t="shared" ca="1" si="5"/>
        <v>=B15*B7</v>
      </c>
      <c r="E20" s="90">
        <f>B19</f>
        <v>750000</v>
      </c>
      <c r="F20" s="87">
        <f>B20</f>
        <v>170000</v>
      </c>
      <c r="G20" s="87">
        <f>B21</f>
        <v>800000</v>
      </c>
      <c r="H20" s="87">
        <f>B22</f>
        <v>0</v>
      </c>
      <c r="I20" s="87">
        <f>B23</f>
        <v>0</v>
      </c>
      <c r="J20" s="88">
        <f>B24</f>
        <v>120000</v>
      </c>
      <c r="M20" s="63"/>
      <c r="N20" s="64"/>
      <c r="O20" s="64"/>
      <c r="P20" s="64"/>
      <c r="Q20" s="64"/>
      <c r="R20" s="64"/>
      <c r="S20" s="64"/>
      <c r="T20" s="64"/>
      <c r="U20" s="64"/>
      <c r="V20" s="64"/>
      <c r="W20" s="64"/>
      <c r="X20" s="65"/>
    </row>
    <row r="21" spans="1:24" x14ac:dyDescent="0.35">
      <c r="A21" s="2" t="s">
        <v>4</v>
      </c>
      <c r="B21" s="7">
        <f>B9*B5</f>
        <v>800000</v>
      </c>
      <c r="C21" s="2" t="str">
        <f t="shared" ca="1" si="5"/>
        <v>=B9*B5</v>
      </c>
      <c r="M21" s="63"/>
      <c r="N21" s="64"/>
      <c r="O21" s="64"/>
      <c r="P21" s="64"/>
      <c r="Q21" s="64"/>
      <c r="R21" s="64"/>
      <c r="S21" s="64"/>
      <c r="T21" s="64"/>
      <c r="U21" s="64"/>
      <c r="V21" s="64"/>
      <c r="W21" s="64"/>
      <c r="X21" s="65"/>
    </row>
    <row r="22" spans="1:24" x14ac:dyDescent="0.35">
      <c r="A22" s="2" t="s">
        <v>41</v>
      </c>
      <c r="B22" s="7">
        <f>B14*B4</f>
        <v>0</v>
      </c>
      <c r="C22" s="2" t="str">
        <f t="shared" ca="1" si="5"/>
        <v>=B14*B4</v>
      </c>
      <c r="M22" s="63"/>
      <c r="N22" s="64"/>
      <c r="O22" s="64"/>
      <c r="P22" s="64"/>
      <c r="Q22" s="64"/>
      <c r="R22" s="64"/>
      <c r="S22" s="64"/>
      <c r="T22" s="64"/>
      <c r="U22" s="64"/>
      <c r="V22" s="64"/>
      <c r="W22" s="64"/>
      <c r="X22" s="65"/>
    </row>
    <row r="23" spans="1:24" ht="15" thickBot="1" x14ac:dyDescent="0.4">
      <c r="A23" s="2" t="s">
        <v>10</v>
      </c>
      <c r="B23" s="7">
        <f>B6*B14</f>
        <v>0</v>
      </c>
      <c r="C23" s="2" t="str">
        <f t="shared" ca="1" si="5"/>
        <v>=B6*B14</v>
      </c>
      <c r="M23" s="66"/>
      <c r="N23" s="67"/>
      <c r="O23" s="67"/>
      <c r="P23" s="67"/>
      <c r="Q23" s="67"/>
      <c r="R23" s="67"/>
      <c r="S23" s="67"/>
      <c r="T23" s="67"/>
      <c r="U23" s="67"/>
      <c r="V23" s="67"/>
      <c r="W23" s="67"/>
      <c r="X23" s="68"/>
    </row>
    <row r="24" spans="1:24" x14ac:dyDescent="0.35">
      <c r="A24" s="2" t="s">
        <v>11</v>
      </c>
      <c r="B24" s="9">
        <f>SUM(B19:B20,B22)-SUM(B21,B23)</f>
        <v>120000</v>
      </c>
    </row>
    <row r="25" spans="1:24" ht="15" thickBot="1" x14ac:dyDescent="0.4"/>
    <row r="26" spans="1:24" ht="15" thickBot="1" x14ac:dyDescent="0.4">
      <c r="A26" s="1" t="s">
        <v>34</v>
      </c>
      <c r="B26"/>
      <c r="C26" s="40" t="s">
        <v>3</v>
      </c>
      <c r="D26" s="57" t="s">
        <v>37</v>
      </c>
      <c r="E26" s="58"/>
      <c r="F26" s="58"/>
      <c r="G26" s="58"/>
      <c r="H26" s="58"/>
      <c r="I26" s="58"/>
      <c r="J26" s="58"/>
      <c r="K26" s="58"/>
      <c r="L26" s="58"/>
      <c r="M26" s="58"/>
      <c r="N26" s="58"/>
      <c r="O26" s="58"/>
      <c r="P26" s="58"/>
      <c r="Q26" s="58"/>
      <c r="R26" s="58"/>
      <c r="S26" s="58"/>
      <c r="T26" s="58"/>
      <c r="U26" s="58"/>
      <c r="V26" s="58"/>
      <c r="W26" s="58"/>
      <c r="X26" s="59"/>
    </row>
    <row r="27" spans="1:24" ht="15" thickBot="1" x14ac:dyDescent="0.4">
      <c r="A27" s="35" t="s">
        <v>36</v>
      </c>
      <c r="B27" s="36" t="s">
        <v>24</v>
      </c>
      <c r="C27" s="41">
        <f>B24</f>
        <v>120000</v>
      </c>
      <c r="D27" s="38">
        <v>20</v>
      </c>
      <c r="E27" s="39">
        <f>D27+1</f>
        <v>21</v>
      </c>
      <c r="F27" s="39">
        <f t="shared" ref="F27:W27" si="6">E27+1</f>
        <v>22</v>
      </c>
      <c r="G27" s="39">
        <f t="shared" si="6"/>
        <v>23</v>
      </c>
      <c r="H27" s="39">
        <f t="shared" si="6"/>
        <v>24</v>
      </c>
      <c r="I27" s="39">
        <f t="shared" si="6"/>
        <v>25</v>
      </c>
      <c r="J27" s="39">
        <f t="shared" si="6"/>
        <v>26</v>
      </c>
      <c r="K27" s="39">
        <f t="shared" si="6"/>
        <v>27</v>
      </c>
      <c r="L27" s="39">
        <f t="shared" si="6"/>
        <v>28</v>
      </c>
      <c r="M27" s="39">
        <f t="shared" si="6"/>
        <v>29</v>
      </c>
      <c r="N27" s="39">
        <f t="shared" si="6"/>
        <v>30</v>
      </c>
      <c r="O27" s="39">
        <f t="shared" si="6"/>
        <v>31</v>
      </c>
      <c r="P27" s="39">
        <f t="shared" si="6"/>
        <v>32</v>
      </c>
      <c r="Q27" s="39">
        <f t="shared" si="6"/>
        <v>33</v>
      </c>
      <c r="R27" s="39">
        <f t="shared" si="6"/>
        <v>34</v>
      </c>
      <c r="S27" s="39">
        <f t="shared" si="6"/>
        <v>35</v>
      </c>
      <c r="T27" s="39">
        <f t="shared" si="6"/>
        <v>36</v>
      </c>
      <c r="U27" s="39">
        <f t="shared" si="6"/>
        <v>37</v>
      </c>
      <c r="V27" s="39">
        <f t="shared" si="6"/>
        <v>38</v>
      </c>
      <c r="W27" s="39">
        <f t="shared" si="6"/>
        <v>39</v>
      </c>
      <c r="X27" s="39">
        <f>W27+1</f>
        <v>40</v>
      </c>
    </row>
    <row r="28" spans="1:24" x14ac:dyDescent="0.35">
      <c r="A28" s="34">
        <v>1</v>
      </c>
      <c r="B28" s="2">
        <v>0.32855284357250847</v>
      </c>
      <c r="C28" s="91">
        <f>_xlfn.NORM.INV(B28,$F$6,$F$8)</f>
        <v>25.560872791834498</v>
      </c>
      <c r="D28" s="13">
        <f t="dataTable" ref="D28:X527" dt2D="1" dtr="1" r1="B9" r2="B11"/>
        <v>116682.61837550346</v>
      </c>
      <c r="E28" s="13">
        <v>118682.61837550346</v>
      </c>
      <c r="F28" s="13">
        <v>120682.61837550346</v>
      </c>
      <c r="G28" s="13">
        <v>122682.61837550346</v>
      </c>
      <c r="H28" s="13">
        <v>124682.61837550346</v>
      </c>
      <c r="I28" s="13">
        <v>126682.61837550346</v>
      </c>
      <c r="J28" s="13">
        <v>126486.98233467597</v>
      </c>
      <c r="K28" s="13">
        <v>123486.98233467597</v>
      </c>
      <c r="L28" s="13">
        <v>120486.98233467597</v>
      </c>
      <c r="M28" s="13">
        <v>117486.98233467597</v>
      </c>
      <c r="N28" s="13">
        <v>114486.98233467597</v>
      </c>
      <c r="O28" s="13">
        <v>111486.98233467597</v>
      </c>
      <c r="P28" s="13">
        <v>108486.98233467597</v>
      </c>
      <c r="Q28" s="13">
        <v>105486.98233467597</v>
      </c>
      <c r="R28" s="13">
        <v>102486.98233467597</v>
      </c>
      <c r="S28" s="13">
        <v>99486.982334675966</v>
      </c>
      <c r="T28" s="13">
        <v>96486.982334675966</v>
      </c>
      <c r="U28" s="13">
        <v>93486.982334675966</v>
      </c>
      <c r="V28" s="13">
        <v>90486.982334675966</v>
      </c>
      <c r="W28" s="13">
        <v>87486.982334675966</v>
      </c>
      <c r="X28" s="13">
        <v>84486.982334675966</v>
      </c>
    </row>
    <row r="29" spans="1:24" x14ac:dyDescent="0.35">
      <c r="A29" s="34">
        <v>2</v>
      </c>
      <c r="B29" s="2">
        <v>0.16620100886626576</v>
      </c>
      <c r="C29" s="91">
        <f t="shared" ref="C29:C92" si="7">_xlfn.NORM.INV(B29,$F$6,$F$8)</f>
        <v>20.307130081720075</v>
      </c>
      <c r="D29" s="13">
        <v>100921.3902451602</v>
      </c>
      <c r="E29" s="13">
        <v>99457.040653760603</v>
      </c>
      <c r="F29" s="13">
        <v>96457.040653760545</v>
      </c>
      <c r="G29" s="13">
        <v>93457.040653760545</v>
      </c>
      <c r="H29" s="13">
        <v>90457.040653760545</v>
      </c>
      <c r="I29" s="13">
        <v>87457.040653760545</v>
      </c>
      <c r="J29" s="13">
        <v>84457.040653760545</v>
      </c>
      <c r="K29" s="13">
        <v>81457.040653760545</v>
      </c>
      <c r="L29" s="13">
        <v>78457.040653760545</v>
      </c>
      <c r="M29" s="13">
        <v>75457.040653760545</v>
      </c>
      <c r="N29" s="13">
        <v>72457.040653760545</v>
      </c>
      <c r="O29" s="13">
        <v>69457.040653760545</v>
      </c>
      <c r="P29" s="13">
        <v>66457.040653760545</v>
      </c>
      <c r="Q29" s="13">
        <v>63457.040653760545</v>
      </c>
      <c r="R29" s="13">
        <v>60457.040653760545</v>
      </c>
      <c r="S29" s="13">
        <v>57457.040653760545</v>
      </c>
      <c r="T29" s="13">
        <v>54457.040653760545</v>
      </c>
      <c r="U29" s="13">
        <v>51457.040653760545</v>
      </c>
      <c r="V29" s="13">
        <v>48457.040653760545</v>
      </c>
      <c r="W29" s="13">
        <v>45457.040653760545</v>
      </c>
      <c r="X29" s="13">
        <v>42457.040653760545</v>
      </c>
    </row>
    <row r="30" spans="1:24" x14ac:dyDescent="0.35">
      <c r="A30" s="34">
        <v>3</v>
      </c>
      <c r="B30" s="2">
        <v>0.64823987023886487</v>
      </c>
      <c r="C30" s="91">
        <f t="shared" si="7"/>
        <v>33.805728108331785</v>
      </c>
      <c r="D30" s="13">
        <v>141417.18432499538</v>
      </c>
      <c r="E30" s="13">
        <v>143417.18432499538</v>
      </c>
      <c r="F30" s="13">
        <v>145417.18432499538</v>
      </c>
      <c r="G30" s="13">
        <v>147417.18432499538</v>
      </c>
      <c r="H30" s="13">
        <v>149417.18432499538</v>
      </c>
      <c r="I30" s="13">
        <v>151417.18432499538</v>
      </c>
      <c r="J30" s="13">
        <v>153417.18432499538</v>
      </c>
      <c r="K30" s="13">
        <v>155417.18432499538</v>
      </c>
      <c r="L30" s="13">
        <v>157417.18432499538</v>
      </c>
      <c r="M30" s="13">
        <v>159417.18432499538</v>
      </c>
      <c r="N30" s="13">
        <v>161417.18432499538</v>
      </c>
      <c r="O30" s="13">
        <v>163417.18432499538</v>
      </c>
      <c r="P30" s="13">
        <v>165417.18432499538</v>
      </c>
      <c r="Q30" s="13">
        <v>167417.18432499538</v>
      </c>
      <c r="R30" s="13">
        <v>168445.82486665423</v>
      </c>
      <c r="S30" s="13">
        <v>165445.82486665423</v>
      </c>
      <c r="T30" s="13">
        <v>162445.82486665423</v>
      </c>
      <c r="U30" s="13">
        <v>159445.82486665423</v>
      </c>
      <c r="V30" s="13">
        <v>156445.82486665423</v>
      </c>
      <c r="W30" s="13">
        <v>153445.82486665423</v>
      </c>
      <c r="X30" s="13">
        <v>150445.82486665423</v>
      </c>
    </row>
    <row r="31" spans="1:24" x14ac:dyDescent="0.35">
      <c r="A31" s="34">
        <v>4</v>
      </c>
      <c r="B31" s="2">
        <v>0.15607003311151513</v>
      </c>
      <c r="C31" s="91">
        <f t="shared" si="7"/>
        <v>19.892582857547026</v>
      </c>
      <c r="D31" s="13">
        <v>99140.662860376178</v>
      </c>
      <c r="E31" s="13">
        <v>96140.662860376178</v>
      </c>
      <c r="F31" s="13">
        <v>93140.662860376178</v>
      </c>
      <c r="G31" s="13">
        <v>90140.662860376178</v>
      </c>
      <c r="H31" s="13">
        <v>87140.662860376178</v>
      </c>
      <c r="I31" s="13">
        <v>84140.662860376178</v>
      </c>
      <c r="J31" s="13">
        <v>81140.662860376178</v>
      </c>
      <c r="K31" s="13">
        <v>78140.662860376178</v>
      </c>
      <c r="L31" s="13">
        <v>75140.662860376178</v>
      </c>
      <c r="M31" s="13">
        <v>72140.662860376178</v>
      </c>
      <c r="N31" s="13">
        <v>69140.662860376178</v>
      </c>
      <c r="O31" s="13">
        <v>66140.662860376178</v>
      </c>
      <c r="P31" s="13">
        <v>63140.662860376178</v>
      </c>
      <c r="Q31" s="13">
        <v>60140.662860376178</v>
      </c>
      <c r="R31" s="13">
        <v>57140.662860376178</v>
      </c>
      <c r="S31" s="13">
        <v>54140.662860376178</v>
      </c>
      <c r="T31" s="13">
        <v>51140.662860376178</v>
      </c>
      <c r="U31" s="13">
        <v>48140.662860376178</v>
      </c>
      <c r="V31" s="13">
        <v>45140.662860376178</v>
      </c>
      <c r="W31" s="13">
        <v>42140.662860376178</v>
      </c>
      <c r="X31" s="13">
        <v>39140.662860376178</v>
      </c>
    </row>
    <row r="32" spans="1:24" x14ac:dyDescent="0.35">
      <c r="A32" s="34">
        <v>5</v>
      </c>
      <c r="B32" s="2">
        <v>0.63088890116415586</v>
      </c>
      <c r="C32" s="91">
        <f t="shared" si="7"/>
        <v>33.34208543300128</v>
      </c>
      <c r="D32" s="13">
        <v>140026.25629900384</v>
      </c>
      <c r="E32" s="13">
        <v>142026.25629900384</v>
      </c>
      <c r="F32" s="13">
        <v>144026.25629900384</v>
      </c>
      <c r="G32" s="13">
        <v>146026.25629900384</v>
      </c>
      <c r="H32" s="13">
        <v>148026.25629900384</v>
      </c>
      <c r="I32" s="13">
        <v>150026.25629900384</v>
      </c>
      <c r="J32" s="13">
        <v>152026.25629900384</v>
      </c>
      <c r="K32" s="13">
        <v>154026.25629900384</v>
      </c>
      <c r="L32" s="13">
        <v>156026.25629900384</v>
      </c>
      <c r="M32" s="13">
        <v>158026.25629900384</v>
      </c>
      <c r="N32" s="13">
        <v>160026.25629900384</v>
      </c>
      <c r="O32" s="13">
        <v>162026.25629900384</v>
      </c>
      <c r="P32" s="13">
        <v>164026.25629900384</v>
      </c>
      <c r="Q32" s="13">
        <v>166026.25629900384</v>
      </c>
      <c r="R32" s="13">
        <v>164736.68346401025</v>
      </c>
      <c r="S32" s="13">
        <v>161736.68346401025</v>
      </c>
      <c r="T32" s="13">
        <v>158736.68346401025</v>
      </c>
      <c r="U32" s="13">
        <v>155736.68346401025</v>
      </c>
      <c r="V32" s="13">
        <v>152736.68346401025</v>
      </c>
      <c r="W32" s="13">
        <v>149736.68346401025</v>
      </c>
      <c r="X32" s="13">
        <v>146736.68346401025</v>
      </c>
    </row>
    <row r="33" spans="1:24" x14ac:dyDescent="0.35">
      <c r="A33" s="34">
        <v>6</v>
      </c>
      <c r="B33" s="2">
        <v>0.35282093874305265</v>
      </c>
      <c r="C33" s="91">
        <f t="shared" si="7"/>
        <v>26.222843996584988</v>
      </c>
      <c r="D33" s="13">
        <v>118668.53198975499</v>
      </c>
      <c r="E33" s="13">
        <v>120668.53198975499</v>
      </c>
      <c r="F33" s="13">
        <v>122668.53198975499</v>
      </c>
      <c r="G33" s="13">
        <v>124668.53198975499</v>
      </c>
      <c r="H33" s="13">
        <v>126668.53198975499</v>
      </c>
      <c r="I33" s="13">
        <v>128668.53198975499</v>
      </c>
      <c r="J33" s="13">
        <v>130668.53198975499</v>
      </c>
      <c r="K33" s="13">
        <v>128782.75197267986</v>
      </c>
      <c r="L33" s="13">
        <v>125782.75197267986</v>
      </c>
      <c r="M33" s="13">
        <v>122782.75197267986</v>
      </c>
      <c r="N33" s="13">
        <v>119782.75197267986</v>
      </c>
      <c r="O33" s="13">
        <v>116782.75197267986</v>
      </c>
      <c r="P33" s="13">
        <v>113782.75197267986</v>
      </c>
      <c r="Q33" s="13">
        <v>110782.75197267986</v>
      </c>
      <c r="R33" s="13">
        <v>107782.75197267998</v>
      </c>
      <c r="S33" s="13">
        <v>104782.75197267998</v>
      </c>
      <c r="T33" s="13">
        <v>101782.75197267998</v>
      </c>
      <c r="U33" s="13">
        <v>98782.75197267998</v>
      </c>
      <c r="V33" s="13">
        <v>95782.75197267998</v>
      </c>
      <c r="W33" s="13">
        <v>92782.75197267998</v>
      </c>
      <c r="X33" s="13">
        <v>89782.75197267998</v>
      </c>
    </row>
    <row r="34" spans="1:24" x14ac:dyDescent="0.35">
      <c r="A34" s="34">
        <v>7</v>
      </c>
      <c r="B34" s="2">
        <v>0.26230429706235181</v>
      </c>
      <c r="C34" s="91">
        <f t="shared" si="7"/>
        <v>23.637424895418096</v>
      </c>
      <c r="D34" s="13">
        <v>110912.27468625427</v>
      </c>
      <c r="E34" s="13">
        <v>112912.27468625427</v>
      </c>
      <c r="F34" s="13">
        <v>114912.27468625427</v>
      </c>
      <c r="G34" s="13">
        <v>116912.27468625427</v>
      </c>
      <c r="H34" s="13">
        <v>117099.39916334476</v>
      </c>
      <c r="I34" s="13">
        <v>114099.39916334476</v>
      </c>
      <c r="J34" s="13">
        <v>111099.39916334476</v>
      </c>
      <c r="K34" s="13">
        <v>108099.39916334476</v>
      </c>
      <c r="L34" s="13">
        <v>105099.39916334476</v>
      </c>
      <c r="M34" s="13">
        <v>102099.39916334476</v>
      </c>
      <c r="N34" s="13">
        <v>99099.399163344759</v>
      </c>
      <c r="O34" s="13">
        <v>96099.399163344759</v>
      </c>
      <c r="P34" s="13">
        <v>93099.399163344759</v>
      </c>
      <c r="Q34" s="13">
        <v>90099.399163344759</v>
      </c>
      <c r="R34" s="13">
        <v>87099.399163344759</v>
      </c>
      <c r="S34" s="13">
        <v>84099.399163344759</v>
      </c>
      <c r="T34" s="13">
        <v>81099.399163344759</v>
      </c>
      <c r="U34" s="13">
        <v>78099.399163344759</v>
      </c>
      <c r="V34" s="13">
        <v>75099.399163344759</v>
      </c>
      <c r="W34" s="13">
        <v>72099.399163344759</v>
      </c>
      <c r="X34" s="13">
        <v>69099.399163344759</v>
      </c>
    </row>
    <row r="35" spans="1:24" x14ac:dyDescent="0.35">
      <c r="A35" s="34">
        <v>8</v>
      </c>
      <c r="B35" s="2">
        <v>0.47777825684423458</v>
      </c>
      <c r="C35" s="91">
        <f t="shared" si="7"/>
        <v>29.442695149648742</v>
      </c>
      <c r="D35" s="13">
        <v>128328.08544894611</v>
      </c>
      <c r="E35" s="13">
        <v>130328.08544894611</v>
      </c>
      <c r="F35" s="13">
        <v>132328.08544894611</v>
      </c>
      <c r="G35" s="13">
        <v>134328.08544894611</v>
      </c>
      <c r="H35" s="13">
        <v>136328.08544894611</v>
      </c>
      <c r="I35" s="13">
        <v>138328.08544894622</v>
      </c>
      <c r="J35" s="13">
        <v>140328.08544894622</v>
      </c>
      <c r="K35" s="13">
        <v>142328.08544894622</v>
      </c>
      <c r="L35" s="13">
        <v>144328.08544894622</v>
      </c>
      <c r="M35" s="13">
        <v>146328.08544894622</v>
      </c>
      <c r="N35" s="13">
        <v>145541.56119718996</v>
      </c>
      <c r="O35" s="13">
        <v>142541.56119718996</v>
      </c>
      <c r="P35" s="13">
        <v>139541.56119718996</v>
      </c>
      <c r="Q35" s="13">
        <v>136541.56119718996</v>
      </c>
      <c r="R35" s="13">
        <v>133541.56119718996</v>
      </c>
      <c r="S35" s="13">
        <v>130541.56119718996</v>
      </c>
      <c r="T35" s="13">
        <v>127541.56119718996</v>
      </c>
      <c r="U35" s="13">
        <v>124541.56119718996</v>
      </c>
      <c r="V35" s="13">
        <v>121541.56119718996</v>
      </c>
      <c r="W35" s="13">
        <v>118541.56119718996</v>
      </c>
      <c r="X35" s="13">
        <v>115541.56119718996</v>
      </c>
    </row>
    <row r="36" spans="1:24" x14ac:dyDescent="0.35">
      <c r="A36" s="34">
        <v>9</v>
      </c>
      <c r="B36" s="2">
        <v>0.8544173076586753</v>
      </c>
      <c r="C36" s="91">
        <f t="shared" si="7"/>
        <v>40.555685304469407</v>
      </c>
      <c r="D36" s="13">
        <v>161667.05591340817</v>
      </c>
      <c r="E36" s="13">
        <v>163667.05591340817</v>
      </c>
      <c r="F36" s="13">
        <v>165667.05591340817</v>
      </c>
      <c r="G36" s="13">
        <v>167667.05591340817</v>
      </c>
      <c r="H36" s="13">
        <v>169667.05591340817</v>
      </c>
      <c r="I36" s="13">
        <v>171667.05591340817</v>
      </c>
      <c r="J36" s="13">
        <v>173667.05591340817</v>
      </c>
      <c r="K36" s="13">
        <v>175667.05591340817</v>
      </c>
      <c r="L36" s="13">
        <v>177667.05591340817</v>
      </c>
      <c r="M36" s="13">
        <v>179667.05591340817</v>
      </c>
      <c r="N36" s="13">
        <v>181667.05591340817</v>
      </c>
      <c r="O36" s="13">
        <v>183667.05591340817</v>
      </c>
      <c r="P36" s="13">
        <v>185667.05591340817</v>
      </c>
      <c r="Q36" s="13">
        <v>187667.05591340817</v>
      </c>
      <c r="R36" s="13">
        <v>189667.05591340817</v>
      </c>
      <c r="S36" s="13">
        <v>191667.05591340817</v>
      </c>
      <c r="T36" s="13">
        <v>193667.05591340817</v>
      </c>
      <c r="U36" s="13">
        <v>195667.05591340817</v>
      </c>
      <c r="V36" s="13">
        <v>197667.05591340817</v>
      </c>
      <c r="W36" s="13">
        <v>199667.05591340817</v>
      </c>
      <c r="X36" s="13">
        <v>201667.05591340817</v>
      </c>
    </row>
    <row r="37" spans="1:24" x14ac:dyDescent="0.35">
      <c r="A37" s="34">
        <v>10</v>
      </c>
      <c r="B37" s="2">
        <v>0.40431753882400834</v>
      </c>
      <c r="C37" s="91">
        <f t="shared" si="7"/>
        <v>27.578127546477088</v>
      </c>
      <c r="D37" s="13">
        <v>122734.38263943116</v>
      </c>
      <c r="E37" s="13">
        <v>124734.38263943116</v>
      </c>
      <c r="F37" s="13">
        <v>126734.38263943116</v>
      </c>
      <c r="G37" s="13">
        <v>128734.38263943128</v>
      </c>
      <c r="H37" s="13">
        <v>130734.38263943128</v>
      </c>
      <c r="I37" s="13">
        <v>132734.38263943128</v>
      </c>
      <c r="J37" s="13">
        <v>134734.38263943128</v>
      </c>
      <c r="K37" s="13">
        <v>136734.38263943128</v>
      </c>
      <c r="L37" s="13">
        <v>136625.0203718167</v>
      </c>
      <c r="M37" s="13">
        <v>133625.0203718167</v>
      </c>
      <c r="N37" s="13">
        <v>130625.0203718167</v>
      </c>
      <c r="O37" s="13">
        <v>127625.0203718167</v>
      </c>
      <c r="P37" s="13">
        <v>124625.0203718167</v>
      </c>
      <c r="Q37" s="13">
        <v>121625.0203718167</v>
      </c>
      <c r="R37" s="13">
        <v>118625.0203718167</v>
      </c>
      <c r="S37" s="13">
        <v>115625.0203718167</v>
      </c>
      <c r="T37" s="13">
        <v>112625.02037181682</v>
      </c>
      <c r="U37" s="13">
        <v>109625.02037181682</v>
      </c>
      <c r="V37" s="13">
        <v>106625.02037181682</v>
      </c>
      <c r="W37" s="13">
        <v>103625.02037181682</v>
      </c>
      <c r="X37" s="13">
        <v>100625.02037181682</v>
      </c>
    </row>
    <row r="38" spans="1:24" x14ac:dyDescent="0.35">
      <c r="A38" s="34">
        <v>11</v>
      </c>
      <c r="B38" s="2">
        <v>0.98210779349535837</v>
      </c>
      <c r="C38" s="91">
        <f t="shared" si="7"/>
        <v>50.993686844302182</v>
      </c>
      <c r="D38" s="13">
        <v>192981.06053290656</v>
      </c>
      <c r="E38" s="13">
        <v>194981.06053290656</v>
      </c>
      <c r="F38" s="13">
        <v>196981.06053290656</v>
      </c>
      <c r="G38" s="13">
        <v>198981.06053290656</v>
      </c>
      <c r="H38" s="13">
        <v>200981.06053290656</v>
      </c>
      <c r="I38" s="13">
        <v>202981.06053290656</v>
      </c>
      <c r="J38" s="13">
        <v>204981.06053290656</v>
      </c>
      <c r="K38" s="13">
        <v>206981.06053290656</v>
      </c>
      <c r="L38" s="13">
        <v>208981.06053290656</v>
      </c>
      <c r="M38" s="13">
        <v>210981.06053290656</v>
      </c>
      <c r="N38" s="13">
        <v>212981.06053290656</v>
      </c>
      <c r="O38" s="13">
        <v>214981.06053290656</v>
      </c>
      <c r="P38" s="13">
        <v>216981.06053290656</v>
      </c>
      <c r="Q38" s="13">
        <v>218981.06053290656</v>
      </c>
      <c r="R38" s="13">
        <v>220981.06053290656</v>
      </c>
      <c r="S38" s="13">
        <v>222981.06053290656</v>
      </c>
      <c r="T38" s="13">
        <v>224981.06053290656</v>
      </c>
      <c r="U38" s="13">
        <v>226981.06053290656</v>
      </c>
      <c r="V38" s="13">
        <v>228981.06053290656</v>
      </c>
      <c r="W38" s="13">
        <v>230981.06053290656</v>
      </c>
      <c r="X38" s="13">
        <v>232981.06053290656</v>
      </c>
    </row>
    <row r="39" spans="1:24" x14ac:dyDescent="0.35">
      <c r="A39" s="34">
        <v>12</v>
      </c>
      <c r="B39" s="2">
        <v>0.93182469313682614</v>
      </c>
      <c r="C39" s="91">
        <f t="shared" si="7"/>
        <v>44.895195326871189</v>
      </c>
      <c r="D39" s="13">
        <v>174685.58598061337</v>
      </c>
      <c r="E39" s="13">
        <v>176685.58598061337</v>
      </c>
      <c r="F39" s="13">
        <v>178685.58598061348</v>
      </c>
      <c r="G39" s="13">
        <v>180685.58598061348</v>
      </c>
      <c r="H39" s="13">
        <v>182685.58598061372</v>
      </c>
      <c r="I39" s="13">
        <v>184685.58598061372</v>
      </c>
      <c r="J39" s="13">
        <v>186685.58598061372</v>
      </c>
      <c r="K39" s="13">
        <v>188685.58598061372</v>
      </c>
      <c r="L39" s="13">
        <v>190685.58598061372</v>
      </c>
      <c r="M39" s="13">
        <v>192685.58598061372</v>
      </c>
      <c r="N39" s="13">
        <v>194685.58598061372</v>
      </c>
      <c r="O39" s="13">
        <v>196685.58598061372</v>
      </c>
      <c r="P39" s="13">
        <v>198685.58598061372</v>
      </c>
      <c r="Q39" s="13">
        <v>200685.58598061372</v>
      </c>
      <c r="R39" s="13">
        <v>202685.58598061372</v>
      </c>
      <c r="S39" s="13">
        <v>204685.58598061372</v>
      </c>
      <c r="T39" s="13">
        <v>206685.58598061372</v>
      </c>
      <c r="U39" s="13">
        <v>208685.58598061372</v>
      </c>
      <c r="V39" s="13">
        <v>210685.58598061372</v>
      </c>
      <c r="W39" s="13">
        <v>212685.5859806136</v>
      </c>
      <c r="X39" s="13">
        <v>214685.5859806136</v>
      </c>
    </row>
    <row r="40" spans="1:24" x14ac:dyDescent="0.35">
      <c r="A40" s="34">
        <v>13</v>
      </c>
      <c r="B40" s="2">
        <v>0.39789444286469167</v>
      </c>
      <c r="C40" s="91">
        <f t="shared" si="7"/>
        <v>27.411991289011155</v>
      </c>
      <c r="D40" s="13">
        <v>122235.97386703349</v>
      </c>
      <c r="E40" s="13">
        <v>124235.97386703349</v>
      </c>
      <c r="F40" s="13">
        <v>126235.97386703349</v>
      </c>
      <c r="G40" s="13">
        <v>128235.97386703349</v>
      </c>
      <c r="H40" s="13">
        <v>130235.97386703349</v>
      </c>
      <c r="I40" s="13">
        <v>132235.97386703349</v>
      </c>
      <c r="J40" s="13">
        <v>134235.97386703349</v>
      </c>
      <c r="K40" s="13">
        <v>136235.97386703349</v>
      </c>
      <c r="L40" s="13">
        <v>135295.93031208927</v>
      </c>
      <c r="M40" s="13">
        <v>132295.93031208927</v>
      </c>
      <c r="N40" s="13">
        <v>129295.93031208927</v>
      </c>
      <c r="O40" s="13">
        <v>126295.93031208927</v>
      </c>
      <c r="P40" s="13">
        <v>123295.93031208927</v>
      </c>
      <c r="Q40" s="13">
        <v>120295.93031208927</v>
      </c>
      <c r="R40" s="13">
        <v>117295.93031208927</v>
      </c>
      <c r="S40" s="13">
        <v>114295.93031208927</v>
      </c>
      <c r="T40" s="13">
        <v>111295.93031208927</v>
      </c>
      <c r="U40" s="13">
        <v>108295.93031208927</v>
      </c>
      <c r="V40" s="13">
        <v>105295.93031208927</v>
      </c>
      <c r="W40" s="13">
        <v>102295.93031208927</v>
      </c>
      <c r="X40" s="13">
        <v>99295.930312089273</v>
      </c>
    </row>
    <row r="41" spans="1:24" x14ac:dyDescent="0.35">
      <c r="A41" s="34">
        <v>14</v>
      </c>
      <c r="B41" s="2">
        <v>0.72622681649545451</v>
      </c>
      <c r="C41" s="91">
        <f t="shared" si="7"/>
        <v>36.014408957139452</v>
      </c>
      <c r="D41" s="13">
        <v>148043.2268714183</v>
      </c>
      <c r="E41" s="13">
        <v>150043.2268714183</v>
      </c>
      <c r="F41" s="13">
        <v>152043.2268714183</v>
      </c>
      <c r="G41" s="13">
        <v>154043.2268714183</v>
      </c>
      <c r="H41" s="13">
        <v>156043.2268714183</v>
      </c>
      <c r="I41" s="13">
        <v>158043.2268714183</v>
      </c>
      <c r="J41" s="13">
        <v>160043.2268714183</v>
      </c>
      <c r="K41" s="13">
        <v>162043.2268714183</v>
      </c>
      <c r="L41" s="13">
        <v>164043.2268714183</v>
      </c>
      <c r="M41" s="13">
        <v>166043.2268714183</v>
      </c>
      <c r="N41" s="13">
        <v>168043.2268714183</v>
      </c>
      <c r="O41" s="13">
        <v>170043.2268714183</v>
      </c>
      <c r="P41" s="13">
        <v>172043.2268714183</v>
      </c>
      <c r="Q41" s="13">
        <v>174043.2268714183</v>
      </c>
      <c r="R41" s="13">
        <v>176043.22687141842</v>
      </c>
      <c r="S41" s="13">
        <v>178043.22687141842</v>
      </c>
      <c r="T41" s="13">
        <v>180043.22687141842</v>
      </c>
      <c r="U41" s="13">
        <v>177115.27165711566</v>
      </c>
      <c r="V41" s="13">
        <v>174115.27165711566</v>
      </c>
      <c r="W41" s="13">
        <v>171115.27165711566</v>
      </c>
      <c r="X41" s="13">
        <v>168115.27165711566</v>
      </c>
    </row>
    <row r="42" spans="1:24" x14ac:dyDescent="0.35">
      <c r="A42" s="34">
        <v>15</v>
      </c>
      <c r="B42" s="2">
        <v>0.25174013848903432</v>
      </c>
      <c r="C42" s="91">
        <f t="shared" si="7"/>
        <v>23.309761701251752</v>
      </c>
      <c r="D42" s="13">
        <v>109929.2851037553</v>
      </c>
      <c r="E42" s="13">
        <v>111929.2851037553</v>
      </c>
      <c r="F42" s="13">
        <v>113929.2851037553</v>
      </c>
      <c r="G42" s="13">
        <v>115929.2851037553</v>
      </c>
      <c r="H42" s="13">
        <v>114478.09361001407</v>
      </c>
      <c r="I42" s="13">
        <v>111478.09361001407</v>
      </c>
      <c r="J42" s="13">
        <v>108478.09361001407</v>
      </c>
      <c r="K42" s="13">
        <v>105478.09361001407</v>
      </c>
      <c r="L42" s="13">
        <v>102478.09361001407</v>
      </c>
      <c r="M42" s="13">
        <v>99478.093610014068</v>
      </c>
      <c r="N42" s="13">
        <v>96478.093610014068</v>
      </c>
      <c r="O42" s="13">
        <v>93478.093610014068</v>
      </c>
      <c r="P42" s="13">
        <v>90478.093610014068</v>
      </c>
      <c r="Q42" s="13">
        <v>87478.093610014068</v>
      </c>
      <c r="R42" s="13">
        <v>84478.093610014068</v>
      </c>
      <c r="S42" s="13">
        <v>81478.093610014068</v>
      </c>
      <c r="T42" s="13">
        <v>78478.093610014068</v>
      </c>
      <c r="U42" s="13">
        <v>75478.093610014068</v>
      </c>
      <c r="V42" s="13">
        <v>72478.093610014068</v>
      </c>
      <c r="W42" s="13">
        <v>69478.093610014068</v>
      </c>
      <c r="X42" s="13">
        <v>66478.093610014068</v>
      </c>
    </row>
    <row r="43" spans="1:24" x14ac:dyDescent="0.35">
      <c r="A43" s="34">
        <v>16</v>
      </c>
      <c r="B43" s="2">
        <v>0.59115433222283509</v>
      </c>
      <c r="C43" s="91">
        <f t="shared" si="7"/>
        <v>32.305153519289277</v>
      </c>
      <c r="D43" s="13">
        <v>136915.46055786789</v>
      </c>
      <c r="E43" s="13">
        <v>138915.46055786789</v>
      </c>
      <c r="F43" s="13">
        <v>140915.46055786789</v>
      </c>
      <c r="G43" s="13">
        <v>142915.46055786789</v>
      </c>
      <c r="H43" s="13">
        <v>144915.46055786789</v>
      </c>
      <c r="I43" s="13">
        <v>146915.46055786789</v>
      </c>
      <c r="J43" s="13">
        <v>148915.46055786789</v>
      </c>
      <c r="K43" s="13">
        <v>150915.46055786789</v>
      </c>
      <c r="L43" s="13">
        <v>152915.46055786789</v>
      </c>
      <c r="M43" s="13">
        <v>154915.46055786789</v>
      </c>
      <c r="N43" s="13">
        <v>156915.46055786789</v>
      </c>
      <c r="O43" s="13">
        <v>158915.46055786789</v>
      </c>
      <c r="P43" s="13">
        <v>160915.46055786789</v>
      </c>
      <c r="Q43" s="13">
        <v>159441.22815431422</v>
      </c>
      <c r="R43" s="13">
        <v>156441.22815431422</v>
      </c>
      <c r="S43" s="13">
        <v>153441.22815431422</v>
      </c>
      <c r="T43" s="13">
        <v>150441.22815431422</v>
      </c>
      <c r="U43" s="13">
        <v>147441.22815431422</v>
      </c>
      <c r="V43" s="13">
        <v>144441.22815431422</v>
      </c>
      <c r="W43" s="13">
        <v>141441.22815431422</v>
      </c>
      <c r="X43" s="13">
        <v>138441.22815431422</v>
      </c>
    </row>
    <row r="44" spans="1:24" x14ac:dyDescent="0.35">
      <c r="A44" s="34">
        <v>17</v>
      </c>
      <c r="B44" s="2">
        <v>0.13375381162980571</v>
      </c>
      <c r="C44" s="91">
        <f t="shared" si="7"/>
        <v>18.911794958769512</v>
      </c>
      <c r="D44" s="13">
        <v>91294.359670156089</v>
      </c>
      <c r="E44" s="13">
        <v>88294.359670156089</v>
      </c>
      <c r="F44" s="13">
        <v>85294.359670156031</v>
      </c>
      <c r="G44" s="13">
        <v>82294.359670156031</v>
      </c>
      <c r="H44" s="13">
        <v>79294.359670156031</v>
      </c>
      <c r="I44" s="13">
        <v>76294.359670156031</v>
      </c>
      <c r="J44" s="13">
        <v>73294.359670156031</v>
      </c>
      <c r="K44" s="13">
        <v>70294.359670156147</v>
      </c>
      <c r="L44" s="13">
        <v>67294.359670156147</v>
      </c>
      <c r="M44" s="13">
        <v>64294.359670156147</v>
      </c>
      <c r="N44" s="13">
        <v>61294.359670156147</v>
      </c>
      <c r="O44" s="13">
        <v>58294.359670156147</v>
      </c>
      <c r="P44" s="13">
        <v>55294.359670156147</v>
      </c>
      <c r="Q44" s="13">
        <v>52294.359670156147</v>
      </c>
      <c r="R44" s="13">
        <v>49294.359670156147</v>
      </c>
      <c r="S44" s="13">
        <v>46294.359670156147</v>
      </c>
      <c r="T44" s="13">
        <v>43294.359670156147</v>
      </c>
      <c r="U44" s="13">
        <v>40294.359670156147</v>
      </c>
      <c r="V44" s="13">
        <v>37294.359670156147</v>
      </c>
      <c r="W44" s="13">
        <v>34294.359670156147</v>
      </c>
      <c r="X44" s="13">
        <v>31294.359670156147</v>
      </c>
    </row>
    <row r="45" spans="1:24" x14ac:dyDescent="0.35">
      <c r="A45" s="34">
        <v>18</v>
      </c>
      <c r="B45" s="2">
        <v>0.82080776905010711</v>
      </c>
      <c r="C45" s="91">
        <f t="shared" si="7"/>
        <v>39.184478260528898</v>
      </c>
      <c r="D45" s="13">
        <v>157553.43478158675</v>
      </c>
      <c r="E45" s="13">
        <v>159553.43478158675</v>
      </c>
      <c r="F45" s="13">
        <v>161553.43478158675</v>
      </c>
      <c r="G45" s="13">
        <v>163553.43478158675</v>
      </c>
      <c r="H45" s="13">
        <v>165553.43478158675</v>
      </c>
      <c r="I45" s="13">
        <v>167553.43478158675</v>
      </c>
      <c r="J45" s="13">
        <v>169553.43478158675</v>
      </c>
      <c r="K45" s="13">
        <v>171553.43478158675</v>
      </c>
      <c r="L45" s="13">
        <v>173553.43478158675</v>
      </c>
      <c r="M45" s="13">
        <v>175553.43478158663</v>
      </c>
      <c r="N45" s="13">
        <v>177553.43478158663</v>
      </c>
      <c r="O45" s="13">
        <v>179553.43478158663</v>
      </c>
      <c r="P45" s="13">
        <v>181553.43478158663</v>
      </c>
      <c r="Q45" s="13">
        <v>183553.43478158663</v>
      </c>
      <c r="R45" s="13">
        <v>185553.43478158663</v>
      </c>
      <c r="S45" s="13">
        <v>187553.43478158663</v>
      </c>
      <c r="T45" s="13">
        <v>189553.43478158663</v>
      </c>
      <c r="U45" s="13">
        <v>191553.43478158663</v>
      </c>
      <c r="V45" s="13">
        <v>193553.43478158663</v>
      </c>
      <c r="W45" s="13">
        <v>195553.43478158663</v>
      </c>
      <c r="X45" s="13">
        <v>193475.82608423114</v>
      </c>
    </row>
    <row r="46" spans="1:24" x14ac:dyDescent="0.35">
      <c r="A46" s="34">
        <v>19</v>
      </c>
      <c r="B46" s="2">
        <v>0.92529216970574379</v>
      </c>
      <c r="C46" s="91">
        <f t="shared" si="7"/>
        <v>44.415985399092449</v>
      </c>
      <c r="D46" s="13">
        <v>173247.95619727753</v>
      </c>
      <c r="E46" s="13">
        <v>175247.95619727741</v>
      </c>
      <c r="F46" s="13">
        <v>177247.95619727741</v>
      </c>
      <c r="G46" s="13">
        <v>179247.95619727741</v>
      </c>
      <c r="H46" s="13">
        <v>181247.95619727741</v>
      </c>
      <c r="I46" s="13">
        <v>183247.95619727741</v>
      </c>
      <c r="J46" s="13">
        <v>185247.95619727741</v>
      </c>
      <c r="K46" s="13">
        <v>187247.95619727741</v>
      </c>
      <c r="L46" s="13">
        <v>189247.95619727741</v>
      </c>
      <c r="M46" s="13">
        <v>191247.95619727741</v>
      </c>
      <c r="N46" s="13">
        <v>193247.95619727741</v>
      </c>
      <c r="O46" s="13">
        <v>195247.95619727741</v>
      </c>
      <c r="P46" s="13">
        <v>197247.95619727741</v>
      </c>
      <c r="Q46" s="13">
        <v>199247.95619727753</v>
      </c>
      <c r="R46" s="13">
        <v>201247.95619727729</v>
      </c>
      <c r="S46" s="13">
        <v>203247.95619727729</v>
      </c>
      <c r="T46" s="13">
        <v>205247.95619727729</v>
      </c>
      <c r="U46" s="13">
        <v>207247.95619727729</v>
      </c>
      <c r="V46" s="13">
        <v>209247.95619727729</v>
      </c>
      <c r="W46" s="13">
        <v>211247.95619727729</v>
      </c>
      <c r="X46" s="13">
        <v>213247.95619727729</v>
      </c>
    </row>
    <row r="47" spans="1:24" x14ac:dyDescent="0.35">
      <c r="A47" s="34">
        <v>20</v>
      </c>
      <c r="B47" s="2">
        <v>0.44321152113846396</v>
      </c>
      <c r="C47" s="91">
        <f t="shared" si="7"/>
        <v>28.571682259354137</v>
      </c>
      <c r="D47" s="13">
        <v>125715.04677806236</v>
      </c>
      <c r="E47" s="13">
        <v>127715.04677806236</v>
      </c>
      <c r="F47" s="13">
        <v>129715.04677806236</v>
      </c>
      <c r="G47" s="13">
        <v>131715.04677806236</v>
      </c>
      <c r="H47" s="13">
        <v>133715.04677806236</v>
      </c>
      <c r="I47" s="13">
        <v>135715.04677806236</v>
      </c>
      <c r="J47" s="13">
        <v>137715.04677806236</v>
      </c>
      <c r="K47" s="13">
        <v>139715.04677806236</v>
      </c>
      <c r="L47" s="13">
        <v>141715.04677806236</v>
      </c>
      <c r="M47" s="13">
        <v>141573.45807483303</v>
      </c>
      <c r="N47" s="13">
        <v>138573.45807483303</v>
      </c>
      <c r="O47" s="13">
        <v>135573.45807483303</v>
      </c>
      <c r="P47" s="13">
        <v>132573.45807483303</v>
      </c>
      <c r="Q47" s="13">
        <v>129573.45807483303</v>
      </c>
      <c r="R47" s="13">
        <v>126573.45807483303</v>
      </c>
      <c r="S47" s="13">
        <v>123573.45807483303</v>
      </c>
      <c r="T47" s="13">
        <v>120573.45807483303</v>
      </c>
      <c r="U47" s="13">
        <v>117573.45807483303</v>
      </c>
      <c r="V47" s="13">
        <v>114573.45807483303</v>
      </c>
      <c r="W47" s="13">
        <v>111573.45807483303</v>
      </c>
      <c r="X47" s="13">
        <v>108573.45807483303</v>
      </c>
    </row>
    <row r="48" spans="1:24" x14ac:dyDescent="0.35">
      <c r="A48" s="34">
        <v>21</v>
      </c>
      <c r="B48" s="2">
        <v>0.92001027408558189</v>
      </c>
      <c r="C48" s="91">
        <f t="shared" si="7"/>
        <v>44.051406720689016</v>
      </c>
      <c r="D48" s="13">
        <v>172154.22016206698</v>
      </c>
      <c r="E48" s="13">
        <v>174154.22016206698</v>
      </c>
      <c r="F48" s="13">
        <v>176154.22016206698</v>
      </c>
      <c r="G48" s="13">
        <v>178154.22016206698</v>
      </c>
      <c r="H48" s="13">
        <v>180154.22016206698</v>
      </c>
      <c r="I48" s="13">
        <v>182154.22016206698</v>
      </c>
      <c r="J48" s="13">
        <v>184154.22016206698</v>
      </c>
      <c r="K48" s="13">
        <v>186154.22016206698</v>
      </c>
      <c r="L48" s="13">
        <v>188154.22016206698</v>
      </c>
      <c r="M48" s="13">
        <v>190154.22016206698</v>
      </c>
      <c r="N48" s="13">
        <v>192154.22016206698</v>
      </c>
      <c r="O48" s="13">
        <v>194154.22016206698</v>
      </c>
      <c r="P48" s="13">
        <v>196154.22016206698</v>
      </c>
      <c r="Q48" s="13">
        <v>198154.22016206698</v>
      </c>
      <c r="R48" s="13">
        <v>200154.22016206698</v>
      </c>
      <c r="S48" s="13">
        <v>202154.22016206698</v>
      </c>
      <c r="T48" s="13">
        <v>204154.22016206698</v>
      </c>
      <c r="U48" s="13">
        <v>206154.22016206698</v>
      </c>
      <c r="V48" s="13">
        <v>208154.22016206698</v>
      </c>
      <c r="W48" s="13">
        <v>210154.22016206698</v>
      </c>
      <c r="X48" s="13">
        <v>212154.22016206698</v>
      </c>
    </row>
    <row r="49" spans="1:24" x14ac:dyDescent="0.35">
      <c r="A49" s="34">
        <v>22</v>
      </c>
      <c r="B49" s="2">
        <v>0.61314169575586153</v>
      </c>
      <c r="C49" s="91">
        <f t="shared" si="7"/>
        <v>32.875168414189389</v>
      </c>
      <c r="D49" s="13">
        <v>138625.50524256821</v>
      </c>
      <c r="E49" s="13">
        <v>140625.50524256809</v>
      </c>
      <c r="F49" s="13">
        <v>142625.50524256809</v>
      </c>
      <c r="G49" s="13">
        <v>144625.50524256809</v>
      </c>
      <c r="H49" s="13">
        <v>146625.50524256809</v>
      </c>
      <c r="I49" s="13">
        <v>148625.50524256809</v>
      </c>
      <c r="J49" s="13">
        <v>150625.50524256809</v>
      </c>
      <c r="K49" s="13">
        <v>152625.50524256809</v>
      </c>
      <c r="L49" s="13">
        <v>154625.50524256809</v>
      </c>
      <c r="M49" s="13">
        <v>156625.50524256809</v>
      </c>
      <c r="N49" s="13">
        <v>158625.50524256809</v>
      </c>
      <c r="O49" s="13">
        <v>160625.50524256809</v>
      </c>
      <c r="P49" s="13">
        <v>162625.50524256809</v>
      </c>
      <c r="Q49" s="13">
        <v>164001.34731351503</v>
      </c>
      <c r="R49" s="13">
        <v>161001.34731351503</v>
      </c>
      <c r="S49" s="13">
        <v>158001.34731351503</v>
      </c>
      <c r="T49" s="13">
        <v>155001.34731351503</v>
      </c>
      <c r="U49" s="13">
        <v>152001.34731351503</v>
      </c>
      <c r="V49" s="13">
        <v>149001.34731351503</v>
      </c>
      <c r="W49" s="13">
        <v>146001.34731351503</v>
      </c>
      <c r="X49" s="13">
        <v>143001.34731351503</v>
      </c>
    </row>
    <row r="50" spans="1:24" x14ac:dyDescent="0.35">
      <c r="A50" s="34">
        <v>23</v>
      </c>
      <c r="B50" s="2">
        <v>0.38547194578653055</v>
      </c>
      <c r="C50" s="91">
        <f t="shared" si="7"/>
        <v>27.088595330073137</v>
      </c>
      <c r="D50" s="13">
        <v>121265.78599021933</v>
      </c>
      <c r="E50" s="13">
        <v>123265.78599021933</v>
      </c>
      <c r="F50" s="13">
        <v>125265.78599021933</v>
      </c>
      <c r="G50" s="13">
        <v>127265.78599021933</v>
      </c>
      <c r="H50" s="13">
        <v>129265.78599021933</v>
      </c>
      <c r="I50" s="13">
        <v>131265.78599021933</v>
      </c>
      <c r="J50" s="13">
        <v>133265.78599021933</v>
      </c>
      <c r="K50" s="13">
        <v>135265.78599021933</v>
      </c>
      <c r="L50" s="13">
        <v>132708.76264058508</v>
      </c>
      <c r="M50" s="13">
        <v>129708.76264058508</v>
      </c>
      <c r="N50" s="13">
        <v>126708.76264058508</v>
      </c>
      <c r="O50" s="13">
        <v>123708.76264058508</v>
      </c>
      <c r="P50" s="13">
        <v>120708.76264058508</v>
      </c>
      <c r="Q50" s="13">
        <v>117708.76264058508</v>
      </c>
      <c r="R50" s="13">
        <v>114708.76264058508</v>
      </c>
      <c r="S50" s="13">
        <v>111708.76264058508</v>
      </c>
      <c r="T50" s="13">
        <v>108708.76264058508</v>
      </c>
      <c r="U50" s="13">
        <v>105708.76264058508</v>
      </c>
      <c r="V50" s="13">
        <v>102708.76264058508</v>
      </c>
      <c r="W50" s="13">
        <v>99708.762640585075</v>
      </c>
      <c r="X50" s="13">
        <v>96708.762640585075</v>
      </c>
    </row>
    <row r="51" spans="1:24" x14ac:dyDescent="0.35">
      <c r="A51" s="34">
        <v>24</v>
      </c>
      <c r="B51" s="2">
        <v>0.76241463855404279</v>
      </c>
      <c r="C51" s="91">
        <f t="shared" si="7"/>
        <v>37.140913038988081</v>
      </c>
      <c r="D51" s="13">
        <v>151422.73911696428</v>
      </c>
      <c r="E51" s="13">
        <v>153422.73911696428</v>
      </c>
      <c r="F51" s="13">
        <v>155422.73911696428</v>
      </c>
      <c r="G51" s="13">
        <v>157422.73911696428</v>
      </c>
      <c r="H51" s="13">
        <v>159422.73911696428</v>
      </c>
      <c r="I51" s="13">
        <v>161422.73911696428</v>
      </c>
      <c r="J51" s="13">
        <v>163422.73911696428</v>
      </c>
      <c r="K51" s="13">
        <v>165422.73911696428</v>
      </c>
      <c r="L51" s="13">
        <v>167422.73911696428</v>
      </c>
      <c r="M51" s="13">
        <v>169422.73911696428</v>
      </c>
      <c r="N51" s="13">
        <v>171422.73911696428</v>
      </c>
      <c r="O51" s="13">
        <v>173422.73911696428</v>
      </c>
      <c r="P51" s="13">
        <v>175422.73911696428</v>
      </c>
      <c r="Q51" s="13">
        <v>177422.73911696428</v>
      </c>
      <c r="R51" s="13">
        <v>179422.73911696428</v>
      </c>
      <c r="S51" s="13">
        <v>181422.73911696428</v>
      </c>
      <c r="T51" s="13">
        <v>183422.73911696428</v>
      </c>
      <c r="U51" s="13">
        <v>185422.73911696428</v>
      </c>
      <c r="V51" s="13">
        <v>183127.30431190459</v>
      </c>
      <c r="W51" s="13">
        <v>180127.30431190459</v>
      </c>
      <c r="X51" s="13">
        <v>177127.30431190459</v>
      </c>
    </row>
    <row r="52" spans="1:24" x14ac:dyDescent="0.35">
      <c r="A52" s="34">
        <v>25</v>
      </c>
      <c r="B52" s="2">
        <v>6.2893769618585837E-2</v>
      </c>
      <c r="C52" s="91">
        <f t="shared" si="7"/>
        <v>14.690734201280621</v>
      </c>
      <c r="D52" s="13">
        <v>57525.873610244947</v>
      </c>
      <c r="E52" s="13">
        <v>54525.873610244947</v>
      </c>
      <c r="F52" s="13">
        <v>51525.873610244947</v>
      </c>
      <c r="G52" s="13">
        <v>48525.873610244947</v>
      </c>
      <c r="H52" s="13">
        <v>45525.873610244947</v>
      </c>
      <c r="I52" s="13">
        <v>42525.873610244947</v>
      </c>
      <c r="J52" s="13">
        <v>39525.873610244947</v>
      </c>
      <c r="K52" s="13">
        <v>36525.873610244947</v>
      </c>
      <c r="L52" s="13">
        <v>33525.873610244947</v>
      </c>
      <c r="M52" s="13">
        <v>30525.873610244947</v>
      </c>
      <c r="N52" s="13">
        <v>27525.873610244947</v>
      </c>
      <c r="O52" s="13">
        <v>24525.873610245064</v>
      </c>
      <c r="P52" s="13">
        <v>21525.873610245064</v>
      </c>
      <c r="Q52" s="13">
        <v>18525.873610245064</v>
      </c>
      <c r="R52" s="13">
        <v>15525.873610245064</v>
      </c>
      <c r="S52" s="13">
        <v>12525.873610245064</v>
      </c>
      <c r="T52" s="13">
        <v>9525.8736102450639</v>
      </c>
      <c r="U52" s="13">
        <v>6525.8736102450639</v>
      </c>
      <c r="V52" s="13">
        <v>3525.8736102450639</v>
      </c>
      <c r="W52" s="13">
        <v>525.8736102450639</v>
      </c>
      <c r="X52" s="13">
        <v>-2474.1263897549361</v>
      </c>
    </row>
    <row r="53" spans="1:24" x14ac:dyDescent="0.35">
      <c r="A53" s="34">
        <v>26</v>
      </c>
      <c r="B53" s="2">
        <v>1.0410369509228135E-2</v>
      </c>
      <c r="C53" s="91">
        <f t="shared" si="7"/>
        <v>6.8878059441649917</v>
      </c>
      <c r="D53" s="13">
        <v>-4897.5524466800853</v>
      </c>
      <c r="E53" s="13">
        <v>-7897.5524466800853</v>
      </c>
      <c r="F53" s="13">
        <v>-10897.552446680085</v>
      </c>
      <c r="G53" s="13">
        <v>-13897.552446680085</v>
      </c>
      <c r="H53" s="13">
        <v>-16897.552446680085</v>
      </c>
      <c r="I53" s="13">
        <v>-19897.552446680085</v>
      </c>
      <c r="J53" s="13">
        <v>-22897.552446680085</v>
      </c>
      <c r="K53" s="13">
        <v>-25897.552446680085</v>
      </c>
      <c r="L53" s="13">
        <v>-28897.552446680143</v>
      </c>
      <c r="M53" s="13">
        <v>-31897.552446680143</v>
      </c>
      <c r="N53" s="13">
        <v>-34897.552446680143</v>
      </c>
      <c r="O53" s="13">
        <v>-37897.552446680143</v>
      </c>
      <c r="P53" s="13">
        <v>-40897.552446680143</v>
      </c>
      <c r="Q53" s="13">
        <v>-43897.552446680143</v>
      </c>
      <c r="R53" s="13">
        <v>-46897.552446680143</v>
      </c>
      <c r="S53" s="13">
        <v>-49897.552446680143</v>
      </c>
      <c r="T53" s="13">
        <v>-52897.552446680143</v>
      </c>
      <c r="U53" s="13">
        <v>-55897.552446680143</v>
      </c>
      <c r="V53" s="13">
        <v>-58897.552446680027</v>
      </c>
      <c r="W53" s="13">
        <v>-61897.552446680143</v>
      </c>
      <c r="X53" s="13">
        <v>-64897.552446680143</v>
      </c>
    </row>
    <row r="54" spans="1:24" x14ac:dyDescent="0.35">
      <c r="A54" s="34">
        <v>27</v>
      </c>
      <c r="B54" s="2">
        <v>0.99354571452350693</v>
      </c>
      <c r="C54" s="91">
        <f t="shared" si="7"/>
        <v>54.862817822701537</v>
      </c>
      <c r="D54" s="13">
        <v>204588.45346810482</v>
      </c>
      <c r="E54" s="13">
        <v>206588.45346810482</v>
      </c>
      <c r="F54" s="13">
        <v>208588.45346810482</v>
      </c>
      <c r="G54" s="13">
        <v>210588.45346810482</v>
      </c>
      <c r="H54" s="13">
        <v>212588.45346810482</v>
      </c>
      <c r="I54" s="13">
        <v>214588.45346810482</v>
      </c>
      <c r="J54" s="13">
        <v>216588.45346810482</v>
      </c>
      <c r="K54" s="13">
        <v>218588.45346810482</v>
      </c>
      <c r="L54" s="13">
        <v>220588.45346810482</v>
      </c>
      <c r="M54" s="13">
        <v>222588.45346810482</v>
      </c>
      <c r="N54" s="13">
        <v>224588.45346810482</v>
      </c>
      <c r="O54" s="13">
        <v>226588.45346810482</v>
      </c>
      <c r="P54" s="13">
        <v>228588.45346810482</v>
      </c>
      <c r="Q54" s="13">
        <v>230588.45346810482</v>
      </c>
      <c r="R54" s="13">
        <v>232588.45346810482</v>
      </c>
      <c r="S54" s="13">
        <v>234588.45346810482</v>
      </c>
      <c r="T54" s="13">
        <v>236588.45346810482</v>
      </c>
      <c r="U54" s="13">
        <v>238588.45346810482</v>
      </c>
      <c r="V54" s="13">
        <v>240588.45346810482</v>
      </c>
      <c r="W54" s="13">
        <v>242588.45346810482</v>
      </c>
      <c r="X54" s="13">
        <v>244588.45346810482</v>
      </c>
    </row>
    <row r="55" spans="1:24" x14ac:dyDescent="0.35">
      <c r="A55" s="34">
        <v>28</v>
      </c>
      <c r="B55" s="2">
        <v>0.73234380346944949</v>
      </c>
      <c r="C55" s="91">
        <f t="shared" si="7"/>
        <v>36.19917060480271</v>
      </c>
      <c r="D55" s="13">
        <v>148597.51181440812</v>
      </c>
      <c r="E55" s="13">
        <v>150597.51181440812</v>
      </c>
      <c r="F55" s="13">
        <v>152597.51181440812</v>
      </c>
      <c r="G55" s="13">
        <v>154597.51181440812</v>
      </c>
      <c r="H55" s="13">
        <v>156597.51181440812</v>
      </c>
      <c r="I55" s="13">
        <v>158597.51181440812</v>
      </c>
      <c r="J55" s="13">
        <v>160597.51181440812</v>
      </c>
      <c r="K55" s="13">
        <v>162597.51181440812</v>
      </c>
      <c r="L55" s="13">
        <v>164597.51181440812</v>
      </c>
      <c r="M55" s="13">
        <v>166597.51181440812</v>
      </c>
      <c r="N55" s="13">
        <v>168597.51181440812</v>
      </c>
      <c r="O55" s="13">
        <v>170597.51181440812</v>
      </c>
      <c r="P55" s="13">
        <v>172597.51181440812</v>
      </c>
      <c r="Q55" s="13">
        <v>174597.51181440812</v>
      </c>
      <c r="R55" s="13">
        <v>176597.51181440812</v>
      </c>
      <c r="S55" s="13">
        <v>178597.51181440812</v>
      </c>
      <c r="T55" s="13">
        <v>180597.51181440812</v>
      </c>
      <c r="U55" s="13">
        <v>178593.36483842169</v>
      </c>
      <c r="V55" s="13">
        <v>175593.36483842169</v>
      </c>
      <c r="W55" s="13">
        <v>172593.36483842169</v>
      </c>
      <c r="X55" s="13">
        <v>169593.36483842169</v>
      </c>
    </row>
    <row r="56" spans="1:24" x14ac:dyDescent="0.35">
      <c r="A56" s="34">
        <v>29</v>
      </c>
      <c r="B56" s="2">
        <v>0.67570303087293127</v>
      </c>
      <c r="C56" s="91">
        <f t="shared" si="7"/>
        <v>34.557163846873756</v>
      </c>
      <c r="D56" s="13">
        <v>143671.49154062127</v>
      </c>
      <c r="E56" s="13">
        <v>145671.49154062127</v>
      </c>
      <c r="F56" s="13">
        <v>147671.49154062127</v>
      </c>
      <c r="G56" s="13">
        <v>149671.49154062115</v>
      </c>
      <c r="H56" s="13">
        <v>151671.49154062115</v>
      </c>
      <c r="I56" s="13">
        <v>153671.49154062127</v>
      </c>
      <c r="J56" s="13">
        <v>155671.49154062127</v>
      </c>
      <c r="K56" s="13">
        <v>157671.49154062127</v>
      </c>
      <c r="L56" s="13">
        <v>159671.49154062127</v>
      </c>
      <c r="M56" s="13">
        <v>161671.49154062127</v>
      </c>
      <c r="N56" s="13">
        <v>163671.49154062127</v>
      </c>
      <c r="O56" s="13">
        <v>165671.49154062127</v>
      </c>
      <c r="P56" s="13">
        <v>167671.49154062127</v>
      </c>
      <c r="Q56" s="13">
        <v>169671.49154062127</v>
      </c>
      <c r="R56" s="13">
        <v>171671.49154062127</v>
      </c>
      <c r="S56" s="13">
        <v>171457.31077499012</v>
      </c>
      <c r="T56" s="13">
        <v>168457.31077499012</v>
      </c>
      <c r="U56" s="13">
        <v>165457.31077499012</v>
      </c>
      <c r="V56" s="13">
        <v>162457.31077499012</v>
      </c>
      <c r="W56" s="13">
        <v>159457.31077499012</v>
      </c>
      <c r="X56" s="13">
        <v>156457.31077499012</v>
      </c>
    </row>
    <row r="57" spans="1:24" x14ac:dyDescent="0.35">
      <c r="A57" s="34">
        <v>30</v>
      </c>
      <c r="B57" s="2">
        <v>0.58623575079294477</v>
      </c>
      <c r="C57" s="91">
        <f t="shared" si="7"/>
        <v>32.178724433403659</v>
      </c>
      <c r="D57" s="13">
        <v>136536.17330021097</v>
      </c>
      <c r="E57" s="13">
        <v>138536.17330021097</v>
      </c>
      <c r="F57" s="13">
        <v>140536.17330021097</v>
      </c>
      <c r="G57" s="13">
        <v>142536.17330021097</v>
      </c>
      <c r="H57" s="13">
        <v>144536.17330021097</v>
      </c>
      <c r="I57" s="13">
        <v>146536.17330021097</v>
      </c>
      <c r="J57" s="13">
        <v>148536.17330021097</v>
      </c>
      <c r="K57" s="13">
        <v>150536.17330021097</v>
      </c>
      <c r="L57" s="13">
        <v>152536.17330021097</v>
      </c>
      <c r="M57" s="13">
        <v>154536.17330021097</v>
      </c>
      <c r="N57" s="13">
        <v>156536.17330021097</v>
      </c>
      <c r="O57" s="13">
        <v>158536.17330021097</v>
      </c>
      <c r="P57" s="13">
        <v>160536.17330021097</v>
      </c>
      <c r="Q57" s="13">
        <v>158429.79546722921</v>
      </c>
      <c r="R57" s="13">
        <v>155429.79546722921</v>
      </c>
      <c r="S57" s="13">
        <v>152429.79546722921</v>
      </c>
      <c r="T57" s="13">
        <v>149429.79546722921</v>
      </c>
      <c r="U57" s="13">
        <v>146429.79546722921</v>
      </c>
      <c r="V57" s="13">
        <v>143429.79546722921</v>
      </c>
      <c r="W57" s="13">
        <v>140429.79546722921</v>
      </c>
      <c r="X57" s="13">
        <v>137429.79546722921</v>
      </c>
    </row>
    <row r="58" spans="1:24" x14ac:dyDescent="0.35">
      <c r="A58" s="34">
        <v>31</v>
      </c>
      <c r="B58" s="2">
        <v>0.23487631892596006</v>
      </c>
      <c r="C58" s="91">
        <f t="shared" si="7"/>
        <v>22.771184146107679</v>
      </c>
      <c r="D58" s="13">
        <v>108313.55243832298</v>
      </c>
      <c r="E58" s="13">
        <v>110313.55243832298</v>
      </c>
      <c r="F58" s="13">
        <v>112313.55243832298</v>
      </c>
      <c r="G58" s="13">
        <v>113169.47316886135</v>
      </c>
      <c r="H58" s="13">
        <v>110169.47316886135</v>
      </c>
      <c r="I58" s="13">
        <v>107169.47316886135</v>
      </c>
      <c r="J58" s="13">
        <v>104169.47316886135</v>
      </c>
      <c r="K58" s="13">
        <v>101169.47316886135</v>
      </c>
      <c r="L58" s="13">
        <v>98169.473168861354</v>
      </c>
      <c r="M58" s="13">
        <v>95169.473168861354</v>
      </c>
      <c r="N58" s="13">
        <v>92169.473168861354</v>
      </c>
      <c r="O58" s="13">
        <v>89169.473168861354</v>
      </c>
      <c r="P58" s="13">
        <v>86169.473168861354</v>
      </c>
      <c r="Q58" s="13">
        <v>83169.473168861354</v>
      </c>
      <c r="R58" s="13">
        <v>80169.473168861354</v>
      </c>
      <c r="S58" s="13">
        <v>77169.473168861354</v>
      </c>
      <c r="T58" s="13">
        <v>74169.473168861354</v>
      </c>
      <c r="U58" s="13">
        <v>71169.473168861354</v>
      </c>
      <c r="V58" s="13">
        <v>68169.473168861354</v>
      </c>
      <c r="W58" s="13">
        <v>65169.473168861354</v>
      </c>
      <c r="X58" s="13">
        <v>62169.473168861354</v>
      </c>
    </row>
    <row r="59" spans="1:24" x14ac:dyDescent="0.35">
      <c r="A59" s="34">
        <v>32</v>
      </c>
      <c r="B59" s="2">
        <v>0.5387769877377101</v>
      </c>
      <c r="C59" s="91">
        <f t="shared" si="7"/>
        <v>30.973530546608529</v>
      </c>
      <c r="D59" s="13">
        <v>132920.59163982561</v>
      </c>
      <c r="E59" s="13">
        <v>134920.59163982561</v>
      </c>
      <c r="F59" s="13">
        <v>136920.59163982561</v>
      </c>
      <c r="G59" s="13">
        <v>138920.59163982561</v>
      </c>
      <c r="H59" s="13">
        <v>140920.59163982561</v>
      </c>
      <c r="I59" s="13">
        <v>142920.59163982561</v>
      </c>
      <c r="J59" s="13">
        <v>144920.59163982561</v>
      </c>
      <c r="K59" s="13">
        <v>146920.59163982561</v>
      </c>
      <c r="L59" s="13">
        <v>148920.59163982561</v>
      </c>
      <c r="M59" s="13">
        <v>150920.59163982561</v>
      </c>
      <c r="N59" s="13">
        <v>152920.59163982561</v>
      </c>
      <c r="O59" s="13">
        <v>154788.24437286821</v>
      </c>
      <c r="P59" s="13">
        <v>151788.24437286821</v>
      </c>
      <c r="Q59" s="13">
        <v>148788.24437286821</v>
      </c>
      <c r="R59" s="13">
        <v>145788.24437286821</v>
      </c>
      <c r="S59" s="13">
        <v>142788.24437286821</v>
      </c>
      <c r="T59" s="13">
        <v>139788.24437286821</v>
      </c>
      <c r="U59" s="13">
        <v>136788.24437286821</v>
      </c>
      <c r="V59" s="13">
        <v>133788.24437286821</v>
      </c>
      <c r="W59" s="13">
        <v>130788.24437286821</v>
      </c>
      <c r="X59" s="13">
        <v>127788.24437286821</v>
      </c>
    </row>
    <row r="60" spans="1:24" x14ac:dyDescent="0.35">
      <c r="A60" s="34">
        <v>33</v>
      </c>
      <c r="B60" s="2">
        <v>0.70923029486667655</v>
      </c>
      <c r="C60" s="91">
        <f t="shared" si="7"/>
        <v>35.51137514898965</v>
      </c>
      <c r="D60" s="13">
        <v>146534.12544696894</v>
      </c>
      <c r="E60" s="13">
        <v>148534.12544696894</v>
      </c>
      <c r="F60" s="13">
        <v>150534.12544696894</v>
      </c>
      <c r="G60" s="13">
        <v>152534.12544696894</v>
      </c>
      <c r="H60" s="13">
        <v>154534.12544696894</v>
      </c>
      <c r="I60" s="13">
        <v>156534.12544696894</v>
      </c>
      <c r="J60" s="13">
        <v>158534.12544696894</v>
      </c>
      <c r="K60" s="13">
        <v>160534.12544696894</v>
      </c>
      <c r="L60" s="13">
        <v>162534.12544696894</v>
      </c>
      <c r="M60" s="13">
        <v>164534.12544696894</v>
      </c>
      <c r="N60" s="13">
        <v>166534.12544696894</v>
      </c>
      <c r="O60" s="13">
        <v>168534.12544696894</v>
      </c>
      <c r="P60" s="13">
        <v>170534.12544696894</v>
      </c>
      <c r="Q60" s="13">
        <v>172534.12544696894</v>
      </c>
      <c r="R60" s="13">
        <v>174534.12544696894</v>
      </c>
      <c r="S60" s="13">
        <v>176534.12544696894</v>
      </c>
      <c r="T60" s="13">
        <v>176091.00119191722</v>
      </c>
      <c r="U60" s="13">
        <v>173091.00119191722</v>
      </c>
      <c r="V60" s="13">
        <v>170091.00119191722</v>
      </c>
      <c r="W60" s="13">
        <v>167091.00119191722</v>
      </c>
      <c r="X60" s="13">
        <v>164091.00119191722</v>
      </c>
    </row>
    <row r="61" spans="1:24" x14ac:dyDescent="0.35">
      <c r="A61" s="34">
        <v>34</v>
      </c>
      <c r="B61" s="2">
        <v>0.77458807338582314</v>
      </c>
      <c r="C61" s="91">
        <f t="shared" si="7"/>
        <v>37.540422487245948</v>
      </c>
      <c r="D61" s="13">
        <v>152621.26746173785</v>
      </c>
      <c r="E61" s="13">
        <v>154621.26746173785</v>
      </c>
      <c r="F61" s="13">
        <v>156621.26746173785</v>
      </c>
      <c r="G61" s="13">
        <v>158621.26746173785</v>
      </c>
      <c r="H61" s="13">
        <v>160621.26746173785</v>
      </c>
      <c r="I61" s="13">
        <v>162621.26746173785</v>
      </c>
      <c r="J61" s="13">
        <v>164621.26746173785</v>
      </c>
      <c r="K61" s="13">
        <v>166621.26746173785</v>
      </c>
      <c r="L61" s="13">
        <v>168621.26746173785</v>
      </c>
      <c r="M61" s="13">
        <v>170621.26746173785</v>
      </c>
      <c r="N61" s="13">
        <v>172621.26746173785</v>
      </c>
      <c r="O61" s="13">
        <v>174621.26746173785</v>
      </c>
      <c r="P61" s="13">
        <v>176621.26746173785</v>
      </c>
      <c r="Q61" s="13">
        <v>178621.26746173785</v>
      </c>
      <c r="R61" s="13">
        <v>180621.26746173785</v>
      </c>
      <c r="S61" s="13">
        <v>182621.26746173785</v>
      </c>
      <c r="T61" s="13">
        <v>184621.26746173785</v>
      </c>
      <c r="U61" s="13">
        <v>186621.26746173785</v>
      </c>
      <c r="V61" s="13">
        <v>186323.37989796756</v>
      </c>
      <c r="W61" s="13">
        <v>183323.37989796756</v>
      </c>
      <c r="X61" s="13">
        <v>180323.37989796756</v>
      </c>
    </row>
    <row r="62" spans="1:24" x14ac:dyDescent="0.35">
      <c r="A62" s="34">
        <v>35</v>
      </c>
      <c r="B62" s="2">
        <v>0.29279913846707173</v>
      </c>
      <c r="C62" s="91">
        <f t="shared" si="7"/>
        <v>24.547742694474632</v>
      </c>
      <c r="D62" s="13">
        <v>113643.22808342386</v>
      </c>
      <c r="E62" s="13">
        <v>115643.22808342386</v>
      </c>
      <c r="F62" s="13">
        <v>117643.22808342386</v>
      </c>
      <c r="G62" s="13">
        <v>119643.22808342386</v>
      </c>
      <c r="H62" s="13">
        <v>121643.22808342386</v>
      </c>
      <c r="I62" s="13">
        <v>121381.94155579701</v>
      </c>
      <c r="J62" s="13">
        <v>118381.94155579701</v>
      </c>
      <c r="K62" s="13">
        <v>115381.94155579701</v>
      </c>
      <c r="L62" s="13">
        <v>112381.94155579701</v>
      </c>
      <c r="M62" s="13">
        <v>109381.94155579701</v>
      </c>
      <c r="N62" s="13">
        <v>106381.94155579701</v>
      </c>
      <c r="O62" s="13">
        <v>103381.94155579701</v>
      </c>
      <c r="P62" s="13">
        <v>100381.94155579701</v>
      </c>
      <c r="Q62" s="13">
        <v>97381.941555797006</v>
      </c>
      <c r="R62" s="13">
        <v>94381.941555797006</v>
      </c>
      <c r="S62" s="13">
        <v>91381.941555797006</v>
      </c>
      <c r="T62" s="13">
        <v>88381.941555797006</v>
      </c>
      <c r="U62" s="13">
        <v>85381.941555797006</v>
      </c>
      <c r="V62" s="13">
        <v>82381.941555797006</v>
      </c>
      <c r="W62" s="13">
        <v>79381.941555797006</v>
      </c>
      <c r="X62" s="13">
        <v>76381.941555797006</v>
      </c>
    </row>
    <row r="63" spans="1:24" x14ac:dyDescent="0.35">
      <c r="A63" s="34">
        <v>36</v>
      </c>
      <c r="B63" s="2">
        <v>0.34921478987178178</v>
      </c>
      <c r="C63" s="91">
        <f t="shared" si="7"/>
        <v>26.125587622648169</v>
      </c>
      <c r="D63" s="13">
        <v>118376.76286794455</v>
      </c>
      <c r="E63" s="13">
        <v>120376.76286794455</v>
      </c>
      <c r="F63" s="13">
        <v>122376.76286794455</v>
      </c>
      <c r="G63" s="13">
        <v>124376.76286794455</v>
      </c>
      <c r="H63" s="13">
        <v>126376.76286794455</v>
      </c>
      <c r="I63" s="13">
        <v>128376.76286794455</v>
      </c>
      <c r="J63" s="13">
        <v>130376.76286794455</v>
      </c>
      <c r="K63" s="13">
        <v>128004.70098118542</v>
      </c>
      <c r="L63" s="13">
        <v>125004.70098118542</v>
      </c>
      <c r="M63" s="13">
        <v>122004.70098118542</v>
      </c>
      <c r="N63" s="13">
        <v>119004.70098118542</v>
      </c>
      <c r="O63" s="13">
        <v>116004.70098118542</v>
      </c>
      <c r="P63" s="13">
        <v>113004.70098118542</v>
      </c>
      <c r="Q63" s="13">
        <v>110004.70098118542</v>
      </c>
      <c r="R63" s="13">
        <v>107004.70098118542</v>
      </c>
      <c r="S63" s="13">
        <v>104004.70098118542</v>
      </c>
      <c r="T63" s="13">
        <v>101004.70098118542</v>
      </c>
      <c r="U63" s="13">
        <v>98004.700981185422</v>
      </c>
      <c r="V63" s="13">
        <v>95004.700981185422</v>
      </c>
      <c r="W63" s="13">
        <v>92004.700981185422</v>
      </c>
      <c r="X63" s="13">
        <v>89004.700981185422</v>
      </c>
    </row>
    <row r="64" spans="1:24" x14ac:dyDescent="0.35">
      <c r="A64" s="34">
        <v>37</v>
      </c>
      <c r="B64" s="2">
        <v>5.134716999020239E-3</v>
      </c>
      <c r="C64" s="91">
        <f t="shared" si="7"/>
        <v>4.3337748455836724</v>
      </c>
      <c r="D64" s="13">
        <v>-25329.80123533064</v>
      </c>
      <c r="E64" s="13">
        <v>-28329.80123533064</v>
      </c>
      <c r="F64" s="13">
        <v>-31329.80123533064</v>
      </c>
      <c r="G64" s="13">
        <v>-34329.80123533064</v>
      </c>
      <c r="H64" s="13">
        <v>-37329.80123533064</v>
      </c>
      <c r="I64" s="13">
        <v>-40329.80123533064</v>
      </c>
      <c r="J64" s="13">
        <v>-43329.80123533064</v>
      </c>
      <c r="K64" s="13">
        <v>-46329.80123533064</v>
      </c>
      <c r="L64" s="13">
        <v>-49329.80123533064</v>
      </c>
      <c r="M64" s="13">
        <v>-52329.80123533064</v>
      </c>
      <c r="N64" s="13">
        <v>-55329.80123533064</v>
      </c>
      <c r="O64" s="13">
        <v>-58329.80123533064</v>
      </c>
      <c r="P64" s="13">
        <v>-61329.80123533064</v>
      </c>
      <c r="Q64" s="13">
        <v>-64329.80123533064</v>
      </c>
      <c r="R64" s="13">
        <v>-67329.80123533064</v>
      </c>
      <c r="S64" s="13">
        <v>-70329.80123533064</v>
      </c>
      <c r="T64" s="13">
        <v>-73329.80123533064</v>
      </c>
      <c r="U64" s="13">
        <v>-76329.801235330757</v>
      </c>
      <c r="V64" s="13">
        <v>-79329.801235330757</v>
      </c>
      <c r="W64" s="13">
        <v>-82329.801235330757</v>
      </c>
      <c r="X64" s="13">
        <v>-85329.801235330757</v>
      </c>
    </row>
    <row r="65" spans="1:24" x14ac:dyDescent="0.35">
      <c r="A65" s="34">
        <v>38</v>
      </c>
      <c r="B65" s="2">
        <v>0.80276520864668865</v>
      </c>
      <c r="C65" s="91">
        <f t="shared" si="7"/>
        <v>38.515397668795309</v>
      </c>
      <c r="D65" s="13">
        <v>155546.19300638582</v>
      </c>
      <c r="E65" s="13">
        <v>157546.19300638582</v>
      </c>
      <c r="F65" s="13">
        <v>159546.19300638582</v>
      </c>
      <c r="G65" s="13">
        <v>161546.19300638582</v>
      </c>
      <c r="H65" s="13">
        <v>163546.19300638582</v>
      </c>
      <c r="I65" s="13">
        <v>165546.19300638582</v>
      </c>
      <c r="J65" s="13">
        <v>167546.19300638582</v>
      </c>
      <c r="K65" s="13">
        <v>169546.19300638582</v>
      </c>
      <c r="L65" s="13">
        <v>171546.19300638582</v>
      </c>
      <c r="M65" s="13">
        <v>173546.19300638582</v>
      </c>
      <c r="N65" s="13">
        <v>175546.19300638582</v>
      </c>
      <c r="O65" s="13">
        <v>177546.19300638582</v>
      </c>
      <c r="P65" s="13">
        <v>179546.19300638582</v>
      </c>
      <c r="Q65" s="13">
        <v>181546.19300638582</v>
      </c>
      <c r="R65" s="13">
        <v>183546.19300638593</v>
      </c>
      <c r="S65" s="13">
        <v>185546.19300638593</v>
      </c>
      <c r="T65" s="13">
        <v>187546.19300638593</v>
      </c>
      <c r="U65" s="13">
        <v>189546.19300638593</v>
      </c>
      <c r="V65" s="13">
        <v>191546.19300638593</v>
      </c>
      <c r="W65" s="13">
        <v>191123.18135036249</v>
      </c>
      <c r="X65" s="13">
        <v>188123.18135036249</v>
      </c>
    </row>
    <row r="66" spans="1:24" x14ac:dyDescent="0.35">
      <c r="A66" s="34">
        <v>39</v>
      </c>
      <c r="B66" s="2">
        <v>0.75814867925654417</v>
      </c>
      <c r="C66" s="91">
        <f t="shared" si="7"/>
        <v>37.003597893128401</v>
      </c>
      <c r="D66" s="13">
        <v>151010.7936793851</v>
      </c>
      <c r="E66" s="13">
        <v>153010.7936793851</v>
      </c>
      <c r="F66" s="13">
        <v>155010.7936793851</v>
      </c>
      <c r="G66" s="13">
        <v>157010.7936793851</v>
      </c>
      <c r="H66" s="13">
        <v>159010.7936793851</v>
      </c>
      <c r="I66" s="13">
        <v>161010.7936793851</v>
      </c>
      <c r="J66" s="13">
        <v>163010.79367938521</v>
      </c>
      <c r="K66" s="13">
        <v>165010.79367938521</v>
      </c>
      <c r="L66" s="13">
        <v>167010.79367938521</v>
      </c>
      <c r="M66" s="13">
        <v>169010.79367938521</v>
      </c>
      <c r="N66" s="13">
        <v>171010.79367938521</v>
      </c>
      <c r="O66" s="13">
        <v>173010.79367938521</v>
      </c>
      <c r="P66" s="13">
        <v>175010.79367938521</v>
      </c>
      <c r="Q66" s="13">
        <v>177010.79367938521</v>
      </c>
      <c r="R66" s="13">
        <v>179010.79367938521</v>
      </c>
      <c r="S66" s="13">
        <v>181010.79367938521</v>
      </c>
      <c r="T66" s="13">
        <v>183010.79367938521</v>
      </c>
      <c r="U66" s="13">
        <v>185010.79367938521</v>
      </c>
      <c r="V66" s="13">
        <v>182028.78314502724</v>
      </c>
      <c r="W66" s="13">
        <v>179028.78314502724</v>
      </c>
      <c r="X66" s="13">
        <v>176028.78314502724</v>
      </c>
    </row>
    <row r="67" spans="1:24" x14ac:dyDescent="0.35">
      <c r="A67" s="34">
        <v>40</v>
      </c>
      <c r="B67" s="2">
        <v>0.35993751063375456</v>
      </c>
      <c r="C67" s="91">
        <f t="shared" si="7"/>
        <v>26.413741704359644</v>
      </c>
      <c r="D67" s="13">
        <v>119241.22511307895</v>
      </c>
      <c r="E67" s="13">
        <v>121241.22511307895</v>
      </c>
      <c r="F67" s="13">
        <v>123241.22511307895</v>
      </c>
      <c r="G67" s="13">
        <v>125241.22511307895</v>
      </c>
      <c r="H67" s="13">
        <v>127241.22511307895</v>
      </c>
      <c r="I67" s="13">
        <v>129241.22511307895</v>
      </c>
      <c r="J67" s="13">
        <v>131241.22511307895</v>
      </c>
      <c r="K67" s="13">
        <v>130309.9336348772</v>
      </c>
      <c r="L67" s="13">
        <v>127309.9336348772</v>
      </c>
      <c r="M67" s="13">
        <v>124309.9336348772</v>
      </c>
      <c r="N67" s="13">
        <v>121309.9336348772</v>
      </c>
      <c r="O67" s="13">
        <v>118309.9336348772</v>
      </c>
      <c r="P67" s="13">
        <v>115309.9336348772</v>
      </c>
      <c r="Q67" s="13">
        <v>112309.9336348772</v>
      </c>
      <c r="R67" s="13">
        <v>109309.9336348772</v>
      </c>
      <c r="S67" s="13">
        <v>106309.9336348772</v>
      </c>
      <c r="T67" s="13">
        <v>103309.9336348772</v>
      </c>
      <c r="U67" s="13">
        <v>100309.9336348772</v>
      </c>
      <c r="V67" s="13">
        <v>97309.933634877205</v>
      </c>
      <c r="W67" s="13">
        <v>94309.933634877205</v>
      </c>
      <c r="X67" s="13">
        <v>91309.933634877205</v>
      </c>
    </row>
    <row r="68" spans="1:24" x14ac:dyDescent="0.35">
      <c r="A68" s="34">
        <v>41</v>
      </c>
      <c r="B68" s="2">
        <v>0.93329073527728657</v>
      </c>
      <c r="C68" s="91">
        <f t="shared" si="7"/>
        <v>45.007565932574387</v>
      </c>
      <c r="D68" s="13">
        <v>175022.69779772311</v>
      </c>
      <c r="E68" s="13">
        <v>177022.69779772311</v>
      </c>
      <c r="F68" s="13">
        <v>179022.69779772311</v>
      </c>
      <c r="G68" s="13">
        <v>181022.69779772311</v>
      </c>
      <c r="H68" s="13">
        <v>183022.69779772311</v>
      </c>
      <c r="I68" s="13">
        <v>185022.69779772311</v>
      </c>
      <c r="J68" s="13">
        <v>187022.69779772311</v>
      </c>
      <c r="K68" s="13">
        <v>189022.69779772311</v>
      </c>
      <c r="L68" s="13">
        <v>191022.69779772311</v>
      </c>
      <c r="M68" s="13">
        <v>193022.69779772311</v>
      </c>
      <c r="N68" s="13">
        <v>195022.69779772311</v>
      </c>
      <c r="O68" s="13">
        <v>197022.69779772311</v>
      </c>
      <c r="P68" s="13">
        <v>199022.69779772311</v>
      </c>
      <c r="Q68" s="13">
        <v>201022.69779772311</v>
      </c>
      <c r="R68" s="13">
        <v>203022.69779772311</v>
      </c>
      <c r="S68" s="13">
        <v>205022.69779772311</v>
      </c>
      <c r="T68" s="13">
        <v>207022.69779772311</v>
      </c>
      <c r="U68" s="13">
        <v>209022.69779772311</v>
      </c>
      <c r="V68" s="13">
        <v>211022.69779772311</v>
      </c>
      <c r="W68" s="13">
        <v>213022.69779772311</v>
      </c>
      <c r="X68" s="13">
        <v>215022.69779772311</v>
      </c>
    </row>
    <row r="69" spans="1:24" x14ac:dyDescent="0.35">
      <c r="A69" s="34">
        <v>42</v>
      </c>
      <c r="B69" s="2">
        <v>0.33136204655875001</v>
      </c>
      <c r="C69" s="91">
        <f t="shared" si="7"/>
        <v>25.638447497075347</v>
      </c>
      <c r="D69" s="13">
        <v>116915.3424912261</v>
      </c>
      <c r="E69" s="13">
        <v>118915.3424912261</v>
      </c>
      <c r="F69" s="13">
        <v>120915.3424912261</v>
      </c>
      <c r="G69" s="13">
        <v>122915.3424912261</v>
      </c>
      <c r="H69" s="13">
        <v>124915.3424912261</v>
      </c>
      <c r="I69" s="13">
        <v>126915.3424912261</v>
      </c>
      <c r="J69" s="13">
        <v>127107.57997660281</v>
      </c>
      <c r="K69" s="13">
        <v>124107.57997660281</v>
      </c>
      <c r="L69" s="13">
        <v>121107.57997660281</v>
      </c>
      <c r="M69" s="13">
        <v>118107.57997660281</v>
      </c>
      <c r="N69" s="13">
        <v>115107.57997660281</v>
      </c>
      <c r="O69" s="13">
        <v>112107.57997660281</v>
      </c>
      <c r="P69" s="13">
        <v>109107.57997660281</v>
      </c>
      <c r="Q69" s="13">
        <v>106107.57997660281</v>
      </c>
      <c r="R69" s="13">
        <v>103107.57997660281</v>
      </c>
      <c r="S69" s="13">
        <v>100107.57997660281</v>
      </c>
      <c r="T69" s="13">
        <v>97107.579976602807</v>
      </c>
      <c r="U69" s="13">
        <v>94107.579976602807</v>
      </c>
      <c r="V69" s="13">
        <v>91107.579976602807</v>
      </c>
      <c r="W69" s="13">
        <v>88107.579976602807</v>
      </c>
      <c r="X69" s="13">
        <v>85107.579976602807</v>
      </c>
    </row>
    <row r="70" spans="1:24" x14ac:dyDescent="0.35">
      <c r="A70" s="34">
        <v>43</v>
      </c>
      <c r="B70" s="2">
        <v>0.78449348915036421</v>
      </c>
      <c r="C70" s="91">
        <f t="shared" si="7"/>
        <v>37.874593395197081</v>
      </c>
      <c r="D70" s="13">
        <v>153623.78018559131</v>
      </c>
      <c r="E70" s="13">
        <v>155623.78018559131</v>
      </c>
      <c r="F70" s="13">
        <v>157623.78018559131</v>
      </c>
      <c r="G70" s="13">
        <v>159623.78018559131</v>
      </c>
      <c r="H70" s="13">
        <v>161623.78018559131</v>
      </c>
      <c r="I70" s="13">
        <v>163623.78018559131</v>
      </c>
      <c r="J70" s="13">
        <v>165623.78018559131</v>
      </c>
      <c r="K70" s="13">
        <v>167623.78018559131</v>
      </c>
      <c r="L70" s="13">
        <v>169623.7801855912</v>
      </c>
      <c r="M70" s="13">
        <v>171623.7801855912</v>
      </c>
      <c r="N70" s="13">
        <v>173623.7801855912</v>
      </c>
      <c r="O70" s="13">
        <v>175623.7801855912</v>
      </c>
      <c r="P70" s="13">
        <v>177623.7801855912</v>
      </c>
      <c r="Q70" s="13">
        <v>179623.7801855912</v>
      </c>
      <c r="R70" s="13">
        <v>181623.7801855912</v>
      </c>
      <c r="S70" s="13">
        <v>183623.7801855912</v>
      </c>
      <c r="T70" s="13">
        <v>185623.7801855912</v>
      </c>
      <c r="U70" s="13">
        <v>187623.7801855912</v>
      </c>
      <c r="V70" s="13">
        <v>188996.74716157664</v>
      </c>
      <c r="W70" s="13">
        <v>185996.74716157664</v>
      </c>
      <c r="X70" s="13">
        <v>182996.74716157664</v>
      </c>
    </row>
    <row r="71" spans="1:24" x14ac:dyDescent="0.35">
      <c r="A71" s="34">
        <v>44</v>
      </c>
      <c r="B71" s="2">
        <v>0.32988164285487132</v>
      </c>
      <c r="C71" s="91">
        <f t="shared" si="7"/>
        <v>25.597599916497728</v>
      </c>
      <c r="D71" s="13">
        <v>116792.79974949325</v>
      </c>
      <c r="E71" s="13">
        <v>118792.79974949325</v>
      </c>
      <c r="F71" s="13">
        <v>120792.79974949325</v>
      </c>
      <c r="G71" s="13">
        <v>122792.79974949325</v>
      </c>
      <c r="H71" s="13">
        <v>124792.79974949325</v>
      </c>
      <c r="I71" s="13">
        <v>126792.79974949325</v>
      </c>
      <c r="J71" s="13">
        <v>126780.79933198192</v>
      </c>
      <c r="K71" s="13">
        <v>123780.79933198192</v>
      </c>
      <c r="L71" s="13">
        <v>120780.79933198192</v>
      </c>
      <c r="M71" s="13">
        <v>117780.79933198192</v>
      </c>
      <c r="N71" s="13">
        <v>114780.79933198192</v>
      </c>
      <c r="O71" s="13">
        <v>111780.79933198192</v>
      </c>
      <c r="P71" s="13">
        <v>108780.79933198192</v>
      </c>
      <c r="Q71" s="13">
        <v>105780.79933198192</v>
      </c>
      <c r="R71" s="13">
        <v>102780.79933198192</v>
      </c>
      <c r="S71" s="13">
        <v>99780.799331981922</v>
      </c>
      <c r="T71" s="13">
        <v>96780.799331981922</v>
      </c>
      <c r="U71" s="13">
        <v>93780.799331981922</v>
      </c>
      <c r="V71" s="13">
        <v>90780.799331981922</v>
      </c>
      <c r="W71" s="13">
        <v>87780.799331981922</v>
      </c>
      <c r="X71" s="13">
        <v>84780.799331981922</v>
      </c>
    </row>
    <row r="72" spans="1:24" x14ac:dyDescent="0.35">
      <c r="A72" s="34">
        <v>45</v>
      </c>
      <c r="B72" s="2">
        <v>0.23355431259497583</v>
      </c>
      <c r="C72" s="91">
        <f t="shared" si="7"/>
        <v>22.728084553966983</v>
      </c>
      <c r="D72" s="13">
        <v>108184.25366190093</v>
      </c>
      <c r="E72" s="13">
        <v>110184.25366190093</v>
      </c>
      <c r="F72" s="13">
        <v>112184.25366190093</v>
      </c>
      <c r="G72" s="13">
        <v>112824.67643173586</v>
      </c>
      <c r="H72" s="13">
        <v>109824.67643173586</v>
      </c>
      <c r="I72" s="13">
        <v>106824.67643173586</v>
      </c>
      <c r="J72" s="13">
        <v>103824.67643173586</v>
      </c>
      <c r="K72" s="13">
        <v>100824.67643173586</v>
      </c>
      <c r="L72" s="13">
        <v>97824.676431735861</v>
      </c>
      <c r="M72" s="13">
        <v>94824.676431735861</v>
      </c>
      <c r="N72" s="13">
        <v>91824.676431735861</v>
      </c>
      <c r="O72" s="13">
        <v>88824.676431735861</v>
      </c>
      <c r="P72" s="13">
        <v>85824.676431735861</v>
      </c>
      <c r="Q72" s="13">
        <v>82824.676431735861</v>
      </c>
      <c r="R72" s="13">
        <v>79824.676431735861</v>
      </c>
      <c r="S72" s="13">
        <v>76824.676431735861</v>
      </c>
      <c r="T72" s="13">
        <v>73824.676431735861</v>
      </c>
      <c r="U72" s="13">
        <v>70824.676431735861</v>
      </c>
      <c r="V72" s="13">
        <v>67824.676431735861</v>
      </c>
      <c r="W72" s="13">
        <v>64824.676431735861</v>
      </c>
      <c r="X72" s="13">
        <v>61824.676431735861</v>
      </c>
    </row>
    <row r="73" spans="1:24" x14ac:dyDescent="0.35">
      <c r="A73" s="34">
        <v>46</v>
      </c>
      <c r="B73" s="2">
        <v>0.54410678441302762</v>
      </c>
      <c r="C73" s="91">
        <f t="shared" si="7"/>
        <v>31.107855160344752</v>
      </c>
      <c r="D73" s="13">
        <v>133323.56548103422</v>
      </c>
      <c r="E73" s="13">
        <v>135323.56548103422</v>
      </c>
      <c r="F73" s="13">
        <v>137323.56548103422</v>
      </c>
      <c r="G73" s="13">
        <v>139323.56548103422</v>
      </c>
      <c r="H73" s="13">
        <v>141323.56548103422</v>
      </c>
      <c r="I73" s="13">
        <v>143323.56548103422</v>
      </c>
      <c r="J73" s="13">
        <v>145323.56548103422</v>
      </c>
      <c r="K73" s="13">
        <v>147323.56548103422</v>
      </c>
      <c r="L73" s="13">
        <v>149323.56548103422</v>
      </c>
      <c r="M73" s="13">
        <v>151323.56548103422</v>
      </c>
      <c r="N73" s="13">
        <v>153323.56548103422</v>
      </c>
      <c r="O73" s="13">
        <v>155323.56548103422</v>
      </c>
      <c r="P73" s="13">
        <v>152862.84128275805</v>
      </c>
      <c r="Q73" s="13">
        <v>149862.84128275793</v>
      </c>
      <c r="R73" s="13">
        <v>146862.84128275793</v>
      </c>
      <c r="S73" s="13">
        <v>143862.84128275793</v>
      </c>
      <c r="T73" s="13">
        <v>140862.84128275793</v>
      </c>
      <c r="U73" s="13">
        <v>137862.84128275793</v>
      </c>
      <c r="V73" s="13">
        <v>134862.84128275793</v>
      </c>
      <c r="W73" s="13">
        <v>131862.84128275793</v>
      </c>
      <c r="X73" s="13">
        <v>128862.84128275793</v>
      </c>
    </row>
    <row r="74" spans="1:24" x14ac:dyDescent="0.35">
      <c r="A74" s="34">
        <v>47</v>
      </c>
      <c r="B74" s="2">
        <v>0.99586435856327271</v>
      </c>
      <c r="C74" s="91">
        <f t="shared" si="7"/>
        <v>56.407905807761914</v>
      </c>
      <c r="D74" s="13">
        <v>209223.71742328559</v>
      </c>
      <c r="E74" s="13">
        <v>211223.71742328559</v>
      </c>
      <c r="F74" s="13">
        <v>213223.71742328559</v>
      </c>
      <c r="G74" s="13">
        <v>215223.71742328559</v>
      </c>
      <c r="H74" s="13">
        <v>217223.71742328559</v>
      </c>
      <c r="I74" s="13">
        <v>219223.71742328559</v>
      </c>
      <c r="J74" s="13">
        <v>221223.71742328559</v>
      </c>
      <c r="K74" s="13">
        <v>223223.71742328559</v>
      </c>
      <c r="L74" s="13">
        <v>225223.71742328559</v>
      </c>
      <c r="M74" s="13">
        <v>227223.71742328559</v>
      </c>
      <c r="N74" s="13">
        <v>229223.71742328559</v>
      </c>
      <c r="O74" s="13">
        <v>231223.71742328559</v>
      </c>
      <c r="P74" s="13">
        <v>233223.71742328559</v>
      </c>
      <c r="Q74" s="13">
        <v>235223.71742328559</v>
      </c>
      <c r="R74" s="13">
        <v>237223.71742328559</v>
      </c>
      <c r="S74" s="13">
        <v>239223.71742328559</v>
      </c>
      <c r="T74" s="13">
        <v>241223.71742328559</v>
      </c>
      <c r="U74" s="13">
        <v>243223.71742328559</v>
      </c>
      <c r="V74" s="13">
        <v>245223.71742328559</v>
      </c>
      <c r="W74" s="13">
        <v>247223.71742328559</v>
      </c>
      <c r="X74" s="13">
        <v>249223.71742328559</v>
      </c>
    </row>
    <row r="75" spans="1:24" x14ac:dyDescent="0.35">
      <c r="A75" s="34">
        <v>48</v>
      </c>
      <c r="B75" s="2">
        <v>3.0491441127483698E-2</v>
      </c>
      <c r="C75" s="91">
        <f t="shared" si="7"/>
        <v>11.263804555459863</v>
      </c>
      <c r="D75" s="13">
        <v>30110.436443678918</v>
      </c>
      <c r="E75" s="13">
        <v>27110.436443678918</v>
      </c>
      <c r="F75" s="13">
        <v>24110.436443678918</v>
      </c>
      <c r="G75" s="13">
        <v>21110.436443678918</v>
      </c>
      <c r="H75" s="13">
        <v>18110.436443678918</v>
      </c>
      <c r="I75" s="13">
        <v>15110.436443678918</v>
      </c>
      <c r="J75" s="13">
        <v>12110.436443678918</v>
      </c>
      <c r="K75" s="13">
        <v>9110.4364436789183</v>
      </c>
      <c r="L75" s="13">
        <v>6110.4364436789183</v>
      </c>
      <c r="M75" s="13">
        <v>3110.4364436789183</v>
      </c>
      <c r="N75" s="13">
        <v>110.43644367891829</v>
      </c>
      <c r="O75" s="13">
        <v>-2889.5635563210817</v>
      </c>
      <c r="P75" s="13">
        <v>-5889.5635563210817</v>
      </c>
      <c r="Q75" s="13">
        <v>-8889.5635563210817</v>
      </c>
      <c r="R75" s="13">
        <v>-11889.563556321082</v>
      </c>
      <c r="S75" s="13">
        <v>-14889.563556321082</v>
      </c>
      <c r="T75" s="13">
        <v>-17889.563556321082</v>
      </c>
      <c r="U75" s="13">
        <v>-20889.563556321082</v>
      </c>
      <c r="V75" s="13">
        <v>-23889.563556321082</v>
      </c>
      <c r="W75" s="13">
        <v>-26889.563556321082</v>
      </c>
      <c r="X75" s="13">
        <v>-29889.563556321082</v>
      </c>
    </row>
    <row r="76" spans="1:24" x14ac:dyDescent="0.35">
      <c r="A76" s="34">
        <v>49</v>
      </c>
      <c r="B76" s="2">
        <v>0.4350997224690758</v>
      </c>
      <c r="C76" s="91">
        <f t="shared" si="7"/>
        <v>28.365948457670907</v>
      </c>
      <c r="D76" s="13">
        <v>125097.84537301271</v>
      </c>
      <c r="E76" s="13">
        <v>127097.84537301271</v>
      </c>
      <c r="F76" s="13">
        <v>129097.84537301271</v>
      </c>
      <c r="G76" s="13">
        <v>131097.84537301271</v>
      </c>
      <c r="H76" s="13">
        <v>133097.84537301271</v>
      </c>
      <c r="I76" s="13">
        <v>135097.84537301271</v>
      </c>
      <c r="J76" s="13">
        <v>137097.84537301271</v>
      </c>
      <c r="K76" s="13">
        <v>139097.84537301271</v>
      </c>
      <c r="L76" s="13">
        <v>141097.84537301271</v>
      </c>
      <c r="M76" s="13">
        <v>139927.58766136726</v>
      </c>
      <c r="N76" s="13">
        <v>136927.58766136726</v>
      </c>
      <c r="O76" s="13">
        <v>133927.58766136726</v>
      </c>
      <c r="P76" s="13">
        <v>130927.58766136726</v>
      </c>
      <c r="Q76" s="13">
        <v>127927.58766136726</v>
      </c>
      <c r="R76" s="13">
        <v>124927.58766136726</v>
      </c>
      <c r="S76" s="13">
        <v>121927.58766136726</v>
      </c>
      <c r="T76" s="13">
        <v>118927.58766136726</v>
      </c>
      <c r="U76" s="13">
        <v>115927.58766136726</v>
      </c>
      <c r="V76" s="13">
        <v>112927.58766136726</v>
      </c>
      <c r="W76" s="13">
        <v>109927.58766136726</v>
      </c>
      <c r="X76" s="13">
        <v>106927.58766136726</v>
      </c>
    </row>
    <row r="77" spans="1:24" x14ac:dyDescent="0.35">
      <c r="A77" s="34">
        <v>50</v>
      </c>
      <c r="B77" s="2">
        <v>0.54781829330750265</v>
      </c>
      <c r="C77" s="91">
        <f t="shared" si="7"/>
        <v>31.201511507727602</v>
      </c>
      <c r="D77" s="13">
        <v>133604.53452318278</v>
      </c>
      <c r="E77" s="13">
        <v>135604.53452318278</v>
      </c>
      <c r="F77" s="13">
        <v>137604.53452318278</v>
      </c>
      <c r="G77" s="13">
        <v>139604.53452318278</v>
      </c>
      <c r="H77" s="13">
        <v>141604.53452318278</v>
      </c>
      <c r="I77" s="13">
        <v>143604.53452318278</v>
      </c>
      <c r="J77" s="13">
        <v>145604.53452318278</v>
      </c>
      <c r="K77" s="13">
        <v>147604.53452318278</v>
      </c>
      <c r="L77" s="13">
        <v>149604.53452318278</v>
      </c>
      <c r="M77" s="13">
        <v>151604.53452318278</v>
      </c>
      <c r="N77" s="13">
        <v>153604.53452318278</v>
      </c>
      <c r="O77" s="13">
        <v>155604.53452318278</v>
      </c>
      <c r="P77" s="13">
        <v>153612.09206182079</v>
      </c>
      <c r="Q77" s="13">
        <v>150612.09206182079</v>
      </c>
      <c r="R77" s="13">
        <v>147612.09206182079</v>
      </c>
      <c r="S77" s="13">
        <v>144612.09206182079</v>
      </c>
      <c r="T77" s="13">
        <v>141612.09206182079</v>
      </c>
      <c r="U77" s="13">
        <v>138612.09206182079</v>
      </c>
      <c r="V77" s="13">
        <v>135612.09206182079</v>
      </c>
      <c r="W77" s="13">
        <v>132612.09206182079</v>
      </c>
      <c r="X77" s="13">
        <v>129612.09206182079</v>
      </c>
    </row>
    <row r="78" spans="1:24" x14ac:dyDescent="0.35">
      <c r="A78" s="34">
        <v>51</v>
      </c>
      <c r="B78" s="2">
        <v>0.50707788151403055</v>
      </c>
      <c r="C78" s="91">
        <f t="shared" si="7"/>
        <v>30.177425487701896</v>
      </c>
      <c r="D78" s="13">
        <v>130532.27646310569</v>
      </c>
      <c r="E78" s="13">
        <v>132532.27646310569</v>
      </c>
      <c r="F78" s="13">
        <v>134532.27646310569</v>
      </c>
      <c r="G78" s="13">
        <v>136532.27646310569</v>
      </c>
      <c r="H78" s="13">
        <v>138532.27646310569</v>
      </c>
      <c r="I78" s="13">
        <v>140532.27646310569</v>
      </c>
      <c r="J78" s="13">
        <v>142532.27646310569</v>
      </c>
      <c r="K78" s="13">
        <v>144532.27646310569</v>
      </c>
      <c r="L78" s="13">
        <v>146532.27646310569</v>
      </c>
      <c r="M78" s="13">
        <v>148532.27646310569</v>
      </c>
      <c r="N78" s="13">
        <v>150532.27646310569</v>
      </c>
      <c r="O78" s="13">
        <v>148419.40390161518</v>
      </c>
      <c r="P78" s="13">
        <v>145419.40390161518</v>
      </c>
      <c r="Q78" s="13">
        <v>142419.40390161518</v>
      </c>
      <c r="R78" s="13">
        <v>139419.40390161518</v>
      </c>
      <c r="S78" s="13">
        <v>136419.40390161518</v>
      </c>
      <c r="T78" s="13">
        <v>133419.40390161518</v>
      </c>
      <c r="U78" s="13">
        <v>130419.40390161518</v>
      </c>
      <c r="V78" s="13">
        <v>127419.40390161518</v>
      </c>
      <c r="W78" s="13">
        <v>124419.40390161518</v>
      </c>
      <c r="X78" s="13">
        <v>121419.40390161518</v>
      </c>
    </row>
    <row r="79" spans="1:24" x14ac:dyDescent="0.35">
      <c r="A79" s="34">
        <v>52</v>
      </c>
      <c r="B79" s="2">
        <v>0.55787766793150706</v>
      </c>
      <c r="C79" s="91">
        <f t="shared" si="7"/>
        <v>31.455905048592125</v>
      </c>
      <c r="D79" s="13">
        <v>134367.7151457764</v>
      </c>
      <c r="E79" s="13">
        <v>136367.7151457764</v>
      </c>
      <c r="F79" s="13">
        <v>138367.7151457764</v>
      </c>
      <c r="G79" s="13">
        <v>140367.7151457764</v>
      </c>
      <c r="H79" s="13">
        <v>142367.7151457764</v>
      </c>
      <c r="I79" s="13">
        <v>144367.7151457764</v>
      </c>
      <c r="J79" s="13">
        <v>146367.7151457764</v>
      </c>
      <c r="K79" s="13">
        <v>148367.7151457764</v>
      </c>
      <c r="L79" s="13">
        <v>150367.7151457764</v>
      </c>
      <c r="M79" s="13">
        <v>152367.7151457764</v>
      </c>
      <c r="N79" s="13">
        <v>154367.7151457764</v>
      </c>
      <c r="O79" s="13">
        <v>156367.71514577628</v>
      </c>
      <c r="P79" s="13">
        <v>155647.24038873694</v>
      </c>
      <c r="Q79" s="13">
        <v>152647.24038873694</v>
      </c>
      <c r="R79" s="13">
        <v>149647.24038873694</v>
      </c>
      <c r="S79" s="13">
        <v>146647.24038873694</v>
      </c>
      <c r="T79" s="13">
        <v>143647.24038873694</v>
      </c>
      <c r="U79" s="13">
        <v>140647.24038873694</v>
      </c>
      <c r="V79" s="13">
        <v>137647.24038873694</v>
      </c>
      <c r="W79" s="13">
        <v>134647.24038873694</v>
      </c>
      <c r="X79" s="13">
        <v>131647.24038873694</v>
      </c>
    </row>
    <row r="80" spans="1:24" x14ac:dyDescent="0.35">
      <c r="A80" s="34">
        <v>53</v>
      </c>
      <c r="B80" s="2">
        <v>1.2632273045705356E-2</v>
      </c>
      <c r="C80" s="91">
        <f t="shared" si="7"/>
        <v>7.6266642048146949</v>
      </c>
      <c r="D80" s="13">
        <v>1013.3136385175167</v>
      </c>
      <c r="E80" s="13">
        <v>-1986.6863614824833</v>
      </c>
      <c r="F80" s="13">
        <v>-4986.6863614824833</v>
      </c>
      <c r="G80" s="13">
        <v>-7986.6863614824833</v>
      </c>
      <c r="H80" s="13">
        <v>-10986.686361482425</v>
      </c>
      <c r="I80" s="13">
        <v>-13986.686361482425</v>
      </c>
      <c r="J80" s="13">
        <v>-16986.686361482425</v>
      </c>
      <c r="K80" s="13">
        <v>-19986.686361482425</v>
      </c>
      <c r="L80" s="13">
        <v>-22986.686361482367</v>
      </c>
      <c r="M80" s="13">
        <v>-25986.686361482367</v>
      </c>
      <c r="N80" s="13">
        <v>-28986.686361482367</v>
      </c>
      <c r="O80" s="13">
        <v>-31986.686361482367</v>
      </c>
      <c r="P80" s="13">
        <v>-34986.686361482367</v>
      </c>
      <c r="Q80" s="13">
        <v>-37986.686361482367</v>
      </c>
      <c r="R80" s="13">
        <v>-40986.686361482367</v>
      </c>
      <c r="S80" s="13">
        <v>-43986.686361482367</v>
      </c>
      <c r="T80" s="13">
        <v>-46986.686361482367</v>
      </c>
      <c r="U80" s="13">
        <v>-49986.686361482367</v>
      </c>
      <c r="V80" s="13">
        <v>-52986.686361482367</v>
      </c>
      <c r="W80" s="13">
        <v>-55986.686361482483</v>
      </c>
      <c r="X80" s="13">
        <v>-58986.686361482483</v>
      </c>
    </row>
    <row r="81" spans="1:24" x14ac:dyDescent="0.35">
      <c r="A81" s="34">
        <v>54</v>
      </c>
      <c r="B81" s="2">
        <v>0.26492791097103485</v>
      </c>
      <c r="C81" s="91">
        <f t="shared" si="7"/>
        <v>23.717738804315587</v>
      </c>
      <c r="D81" s="13">
        <v>111153.21641294681</v>
      </c>
      <c r="E81" s="13">
        <v>113153.21641294681</v>
      </c>
      <c r="F81" s="13">
        <v>115153.21641294681</v>
      </c>
      <c r="G81" s="13">
        <v>117153.21641294681</v>
      </c>
      <c r="H81" s="13">
        <v>117741.91043452476</v>
      </c>
      <c r="I81" s="13">
        <v>114741.91043452476</v>
      </c>
      <c r="J81" s="13">
        <v>111741.91043452476</v>
      </c>
      <c r="K81" s="13">
        <v>108741.91043452476</v>
      </c>
      <c r="L81" s="13">
        <v>105741.91043452476</v>
      </c>
      <c r="M81" s="13">
        <v>102741.91043452476</v>
      </c>
      <c r="N81" s="13">
        <v>99741.910434524762</v>
      </c>
      <c r="O81" s="13">
        <v>96741.910434524762</v>
      </c>
      <c r="P81" s="13">
        <v>93741.910434524762</v>
      </c>
      <c r="Q81" s="13">
        <v>90741.910434524762</v>
      </c>
      <c r="R81" s="13">
        <v>87741.910434524762</v>
      </c>
      <c r="S81" s="13">
        <v>84741.910434524762</v>
      </c>
      <c r="T81" s="13">
        <v>81741.910434524762</v>
      </c>
      <c r="U81" s="13">
        <v>78741.910434524762</v>
      </c>
      <c r="V81" s="13">
        <v>75741.910434524762</v>
      </c>
      <c r="W81" s="13">
        <v>72741.910434524762</v>
      </c>
      <c r="X81" s="13">
        <v>69741.910434524762</v>
      </c>
    </row>
    <row r="82" spans="1:24" x14ac:dyDescent="0.35">
      <c r="A82" s="34">
        <v>55</v>
      </c>
      <c r="B82" s="2">
        <v>0.73967818834611787</v>
      </c>
      <c r="C82" s="91">
        <f t="shared" si="7"/>
        <v>36.423535942138059</v>
      </c>
      <c r="D82" s="13">
        <v>149270.60782641429</v>
      </c>
      <c r="E82" s="13">
        <v>151270.60782641429</v>
      </c>
      <c r="F82" s="13">
        <v>153270.60782641429</v>
      </c>
      <c r="G82" s="13">
        <v>155270.60782641429</v>
      </c>
      <c r="H82" s="13">
        <v>157270.60782641429</v>
      </c>
      <c r="I82" s="13">
        <v>159270.60782641429</v>
      </c>
      <c r="J82" s="13">
        <v>161270.60782641429</v>
      </c>
      <c r="K82" s="13">
        <v>163270.60782641429</v>
      </c>
      <c r="L82" s="13">
        <v>165270.60782641429</v>
      </c>
      <c r="M82" s="13">
        <v>167270.60782641429</v>
      </c>
      <c r="N82" s="13">
        <v>169270.60782641429</v>
      </c>
      <c r="O82" s="13">
        <v>171270.60782641417</v>
      </c>
      <c r="P82" s="13">
        <v>173270.60782641417</v>
      </c>
      <c r="Q82" s="13">
        <v>175270.60782641417</v>
      </c>
      <c r="R82" s="13">
        <v>177270.60782641417</v>
      </c>
      <c r="S82" s="13">
        <v>179270.60782641417</v>
      </c>
      <c r="T82" s="13">
        <v>181270.60782641417</v>
      </c>
      <c r="U82" s="13">
        <v>180388.28753710457</v>
      </c>
      <c r="V82" s="13">
        <v>177388.28753710457</v>
      </c>
      <c r="W82" s="13">
        <v>174388.28753710457</v>
      </c>
      <c r="X82" s="13">
        <v>171388.28753710457</v>
      </c>
    </row>
    <row r="83" spans="1:24" x14ac:dyDescent="0.35">
      <c r="A83" s="34">
        <v>56</v>
      </c>
      <c r="B83" s="2">
        <v>6.5333446019844144E-2</v>
      </c>
      <c r="C83" s="91">
        <f t="shared" si="7"/>
        <v>14.885227164193795</v>
      </c>
      <c r="D83" s="13">
        <v>59081.817313550331</v>
      </c>
      <c r="E83" s="13">
        <v>56081.817313550331</v>
      </c>
      <c r="F83" s="13">
        <v>53081.817313550331</v>
      </c>
      <c r="G83" s="13">
        <v>50081.817313550389</v>
      </c>
      <c r="H83" s="13">
        <v>47081.817313550389</v>
      </c>
      <c r="I83" s="13">
        <v>44081.817313550389</v>
      </c>
      <c r="J83" s="13">
        <v>41081.817313550389</v>
      </c>
      <c r="K83" s="13">
        <v>38081.817313550389</v>
      </c>
      <c r="L83" s="13">
        <v>35081.817313550389</v>
      </c>
      <c r="M83" s="13">
        <v>32081.817313550389</v>
      </c>
      <c r="N83" s="13">
        <v>29081.817313550389</v>
      </c>
      <c r="O83" s="13">
        <v>26081.817313550389</v>
      </c>
      <c r="P83" s="13">
        <v>23081.817313550389</v>
      </c>
      <c r="Q83" s="13">
        <v>20081.817313550389</v>
      </c>
      <c r="R83" s="13">
        <v>17081.817313550389</v>
      </c>
      <c r="S83" s="13">
        <v>14081.817313550389</v>
      </c>
      <c r="T83" s="13">
        <v>11081.817313550389</v>
      </c>
      <c r="U83" s="13">
        <v>8081.8173135503894</v>
      </c>
      <c r="V83" s="13">
        <v>5081.8173135503894</v>
      </c>
      <c r="W83" s="13">
        <v>2081.8173135503894</v>
      </c>
      <c r="X83" s="13">
        <v>-918.18268644961063</v>
      </c>
    </row>
    <row r="84" spans="1:24" x14ac:dyDescent="0.35">
      <c r="A84" s="34">
        <v>57</v>
      </c>
      <c r="B84" s="2">
        <v>5.7404484329329764E-3</v>
      </c>
      <c r="C84" s="91">
        <f t="shared" si="7"/>
        <v>4.7228947421383758</v>
      </c>
      <c r="D84" s="13">
        <v>-22216.842062892974</v>
      </c>
      <c r="E84" s="13">
        <v>-25216.842062892974</v>
      </c>
      <c r="F84" s="13">
        <v>-28216.842062892974</v>
      </c>
      <c r="G84" s="13">
        <v>-31216.842062892974</v>
      </c>
      <c r="H84" s="13">
        <v>-34216.842062892974</v>
      </c>
      <c r="I84" s="13">
        <v>-37216.842062892974</v>
      </c>
      <c r="J84" s="13">
        <v>-40216.842062892974</v>
      </c>
      <c r="K84" s="13">
        <v>-43216.842062892974</v>
      </c>
      <c r="L84" s="13">
        <v>-46216.842062892974</v>
      </c>
      <c r="M84" s="13">
        <v>-49216.842062892974</v>
      </c>
      <c r="N84" s="13">
        <v>-52216.842062892974</v>
      </c>
      <c r="O84" s="13">
        <v>-55216.842062892974</v>
      </c>
      <c r="P84" s="13">
        <v>-58216.842062892974</v>
      </c>
      <c r="Q84" s="13">
        <v>-61216.842062892974</v>
      </c>
      <c r="R84" s="13">
        <v>-64216.842062892974</v>
      </c>
      <c r="S84" s="13">
        <v>-67216.842062892974</v>
      </c>
      <c r="T84" s="13">
        <v>-70216.842062892974</v>
      </c>
      <c r="U84" s="13">
        <v>-73216.842062893091</v>
      </c>
      <c r="V84" s="13">
        <v>-76216.842062893091</v>
      </c>
      <c r="W84" s="13">
        <v>-79216.842062893091</v>
      </c>
      <c r="X84" s="13">
        <v>-82216.842062893091</v>
      </c>
    </row>
    <row r="85" spans="1:24" x14ac:dyDescent="0.35">
      <c r="A85" s="34">
        <v>58</v>
      </c>
      <c r="B85" s="2">
        <v>0.88653249269737799</v>
      </c>
      <c r="C85" s="91">
        <f t="shared" si="7"/>
        <v>42.082918698719283</v>
      </c>
      <c r="D85" s="13">
        <v>166248.75609615794</v>
      </c>
      <c r="E85" s="13">
        <v>168248.75609615794</v>
      </c>
      <c r="F85" s="13">
        <v>170248.75609615794</v>
      </c>
      <c r="G85" s="13">
        <v>172248.75609615794</v>
      </c>
      <c r="H85" s="13">
        <v>174248.75609615794</v>
      </c>
      <c r="I85" s="13">
        <v>176248.75609615794</v>
      </c>
      <c r="J85" s="13">
        <v>178248.75609615794</v>
      </c>
      <c r="K85" s="13">
        <v>180248.75609615794</v>
      </c>
      <c r="L85" s="13">
        <v>182248.75609615794</v>
      </c>
      <c r="M85" s="13">
        <v>184248.75609615794</v>
      </c>
      <c r="N85" s="13">
        <v>186248.75609615794</v>
      </c>
      <c r="O85" s="13">
        <v>188248.75609615783</v>
      </c>
      <c r="P85" s="13">
        <v>190248.75609615783</v>
      </c>
      <c r="Q85" s="13">
        <v>192248.75609615783</v>
      </c>
      <c r="R85" s="13">
        <v>194248.75609615783</v>
      </c>
      <c r="S85" s="13">
        <v>196248.75609615783</v>
      </c>
      <c r="T85" s="13">
        <v>198248.75609615783</v>
      </c>
      <c r="U85" s="13">
        <v>200248.75609615783</v>
      </c>
      <c r="V85" s="13">
        <v>202248.75609615783</v>
      </c>
      <c r="W85" s="13">
        <v>204248.75609615783</v>
      </c>
      <c r="X85" s="13">
        <v>206248.75609615783</v>
      </c>
    </row>
    <row r="86" spans="1:24" x14ac:dyDescent="0.35">
      <c r="A86" s="34">
        <v>59</v>
      </c>
      <c r="B86" s="2">
        <v>5.2446246986382672E-2</v>
      </c>
      <c r="C86" s="91">
        <f t="shared" si="7"/>
        <v>13.784162014878177</v>
      </c>
      <c r="D86" s="13">
        <v>50273.296119025443</v>
      </c>
      <c r="E86" s="13">
        <v>47273.296119025443</v>
      </c>
      <c r="F86" s="13">
        <v>44273.296119025443</v>
      </c>
      <c r="G86" s="13">
        <v>41273.296119025443</v>
      </c>
      <c r="H86" s="13">
        <v>38273.296119025443</v>
      </c>
      <c r="I86" s="13">
        <v>35273.296119025443</v>
      </c>
      <c r="J86" s="13">
        <v>32273.296119025443</v>
      </c>
      <c r="K86" s="13">
        <v>29273.296119025443</v>
      </c>
      <c r="L86" s="13">
        <v>26273.296119025443</v>
      </c>
      <c r="M86" s="13">
        <v>23273.296119025443</v>
      </c>
      <c r="N86" s="13">
        <v>20273.296119025443</v>
      </c>
      <c r="O86" s="13">
        <v>17273.296119025443</v>
      </c>
      <c r="P86" s="13">
        <v>14273.296119025443</v>
      </c>
      <c r="Q86" s="13">
        <v>11273.296119025443</v>
      </c>
      <c r="R86" s="13">
        <v>8273.2961190254427</v>
      </c>
      <c r="S86" s="13">
        <v>5273.2961190254427</v>
      </c>
      <c r="T86" s="13">
        <v>2273.2961190254427</v>
      </c>
      <c r="U86" s="13">
        <v>-726.70388097455725</v>
      </c>
      <c r="V86" s="13">
        <v>-3726.7038809745573</v>
      </c>
      <c r="W86" s="13">
        <v>-6726.7038809745573</v>
      </c>
      <c r="X86" s="13">
        <v>-9726.7038809745573</v>
      </c>
    </row>
    <row r="87" spans="1:24" x14ac:dyDescent="0.35">
      <c r="A87" s="34">
        <v>60</v>
      </c>
      <c r="B87" s="2">
        <v>0.32477171431458218</v>
      </c>
      <c r="C87" s="91">
        <f t="shared" si="7"/>
        <v>25.456034410632697</v>
      </c>
      <c r="D87" s="13">
        <v>116368.10323189804</v>
      </c>
      <c r="E87" s="13">
        <v>118368.10323189804</v>
      </c>
      <c r="F87" s="13">
        <v>120368.10323189804</v>
      </c>
      <c r="G87" s="13">
        <v>122368.10323189804</v>
      </c>
      <c r="H87" s="13">
        <v>124368.10323189804</v>
      </c>
      <c r="I87" s="13">
        <v>126368.10323189804</v>
      </c>
      <c r="J87" s="13">
        <v>125648.27528506157</v>
      </c>
      <c r="K87" s="13">
        <v>122648.27528506157</v>
      </c>
      <c r="L87" s="13">
        <v>119648.27528506157</v>
      </c>
      <c r="M87" s="13">
        <v>116648.27528506157</v>
      </c>
      <c r="N87" s="13">
        <v>113648.27528506157</v>
      </c>
      <c r="O87" s="13">
        <v>110648.27528506157</v>
      </c>
      <c r="P87" s="13">
        <v>107648.27528506157</v>
      </c>
      <c r="Q87" s="13">
        <v>104648.27528506157</v>
      </c>
      <c r="R87" s="13">
        <v>101648.27528506157</v>
      </c>
      <c r="S87" s="13">
        <v>98648.275285061565</v>
      </c>
      <c r="T87" s="13">
        <v>95648.275285061565</v>
      </c>
      <c r="U87" s="13">
        <v>92648.275285061565</v>
      </c>
      <c r="V87" s="13">
        <v>89648.275285061565</v>
      </c>
      <c r="W87" s="13">
        <v>86648.275285061565</v>
      </c>
      <c r="X87" s="13">
        <v>83648.275285061565</v>
      </c>
    </row>
    <row r="88" spans="1:24" x14ac:dyDescent="0.35">
      <c r="A88" s="34">
        <v>61</v>
      </c>
      <c r="B88" s="2">
        <v>0.84715286354151542</v>
      </c>
      <c r="C88" s="91">
        <f t="shared" si="7"/>
        <v>40.242985705474773</v>
      </c>
      <c r="D88" s="13">
        <v>160728.95711642434</v>
      </c>
      <c r="E88" s="13">
        <v>162728.95711642434</v>
      </c>
      <c r="F88" s="13">
        <v>164728.95711642434</v>
      </c>
      <c r="G88" s="13">
        <v>166728.95711642434</v>
      </c>
      <c r="H88" s="13">
        <v>168728.95711642434</v>
      </c>
      <c r="I88" s="13">
        <v>170728.95711642434</v>
      </c>
      <c r="J88" s="13">
        <v>172728.95711642434</v>
      </c>
      <c r="K88" s="13">
        <v>174728.95711642434</v>
      </c>
      <c r="L88" s="13">
        <v>176728.95711642434</v>
      </c>
      <c r="M88" s="13">
        <v>178728.95711642434</v>
      </c>
      <c r="N88" s="13">
        <v>180728.95711642434</v>
      </c>
      <c r="O88" s="13">
        <v>182728.95711642434</v>
      </c>
      <c r="P88" s="13">
        <v>184728.95711642434</v>
      </c>
      <c r="Q88" s="13">
        <v>186728.95711642434</v>
      </c>
      <c r="R88" s="13">
        <v>188728.95711642434</v>
      </c>
      <c r="S88" s="13">
        <v>190728.95711642434</v>
      </c>
      <c r="T88" s="13">
        <v>192728.95711642434</v>
      </c>
      <c r="U88" s="13">
        <v>194728.95711642434</v>
      </c>
      <c r="V88" s="13">
        <v>196728.95711642434</v>
      </c>
      <c r="W88" s="13">
        <v>198728.95711642434</v>
      </c>
      <c r="X88" s="13">
        <v>200728.95711642434</v>
      </c>
    </row>
    <row r="89" spans="1:24" x14ac:dyDescent="0.35">
      <c r="A89" s="34">
        <v>62</v>
      </c>
      <c r="B89" s="2">
        <v>0.61230203579636533</v>
      </c>
      <c r="C89" s="91">
        <f t="shared" si="7"/>
        <v>32.853239986580455</v>
      </c>
      <c r="D89" s="13">
        <v>138559.71995974123</v>
      </c>
      <c r="E89" s="13">
        <v>140559.71995974123</v>
      </c>
      <c r="F89" s="13">
        <v>142559.71995974123</v>
      </c>
      <c r="G89" s="13">
        <v>144559.71995974134</v>
      </c>
      <c r="H89" s="13">
        <v>146559.71995974134</v>
      </c>
      <c r="I89" s="13">
        <v>148559.71995974134</v>
      </c>
      <c r="J89" s="13">
        <v>150559.71995974134</v>
      </c>
      <c r="K89" s="13">
        <v>152559.71995974134</v>
      </c>
      <c r="L89" s="13">
        <v>154559.71995974134</v>
      </c>
      <c r="M89" s="13">
        <v>156559.71995974134</v>
      </c>
      <c r="N89" s="13">
        <v>158559.71995974146</v>
      </c>
      <c r="O89" s="13">
        <v>160559.71995974146</v>
      </c>
      <c r="P89" s="13">
        <v>162559.71995974146</v>
      </c>
      <c r="Q89" s="13">
        <v>163825.91989264369</v>
      </c>
      <c r="R89" s="13">
        <v>160825.91989264369</v>
      </c>
      <c r="S89" s="13">
        <v>157825.91989264369</v>
      </c>
      <c r="T89" s="13">
        <v>154825.91989264369</v>
      </c>
      <c r="U89" s="13">
        <v>151825.91989264369</v>
      </c>
      <c r="V89" s="13">
        <v>148825.91989264369</v>
      </c>
      <c r="W89" s="13">
        <v>145825.91989264369</v>
      </c>
      <c r="X89" s="13">
        <v>142825.91989264369</v>
      </c>
    </row>
    <row r="90" spans="1:24" x14ac:dyDescent="0.35">
      <c r="A90" s="34">
        <v>63</v>
      </c>
      <c r="B90" s="2">
        <v>0.39516169269028678</v>
      </c>
      <c r="C90" s="91">
        <f t="shared" si="7"/>
        <v>27.341092969965018</v>
      </c>
      <c r="D90" s="13">
        <v>122023.27890989499</v>
      </c>
      <c r="E90" s="13">
        <v>124023.27890989499</v>
      </c>
      <c r="F90" s="13">
        <v>126023.27890989499</v>
      </c>
      <c r="G90" s="13">
        <v>128023.27890989499</v>
      </c>
      <c r="H90" s="13">
        <v>130023.27890989499</v>
      </c>
      <c r="I90" s="13">
        <v>132023.27890989499</v>
      </c>
      <c r="J90" s="13">
        <v>134023.27890989499</v>
      </c>
      <c r="K90" s="13">
        <v>136023.27890989499</v>
      </c>
      <c r="L90" s="13">
        <v>134728.74375972012</v>
      </c>
      <c r="M90" s="13">
        <v>131728.74375972012</v>
      </c>
      <c r="N90" s="13">
        <v>128728.74375972012</v>
      </c>
      <c r="O90" s="13">
        <v>125728.74375972012</v>
      </c>
      <c r="P90" s="13">
        <v>122728.74375972012</v>
      </c>
      <c r="Q90" s="13">
        <v>119728.74375972012</v>
      </c>
      <c r="R90" s="13">
        <v>116728.74375972012</v>
      </c>
      <c r="S90" s="13">
        <v>113728.74375972012</v>
      </c>
      <c r="T90" s="13">
        <v>110728.74375972012</v>
      </c>
      <c r="U90" s="13">
        <v>107728.74375972012</v>
      </c>
      <c r="V90" s="13">
        <v>104728.74375972012</v>
      </c>
      <c r="W90" s="13">
        <v>101728.74375972012</v>
      </c>
      <c r="X90" s="13">
        <v>98728.743759720121</v>
      </c>
    </row>
    <row r="91" spans="1:24" x14ac:dyDescent="0.35">
      <c r="A91" s="34">
        <v>64</v>
      </c>
      <c r="B91" s="2">
        <v>0.31867483404954622</v>
      </c>
      <c r="C91" s="91">
        <f t="shared" si="7"/>
        <v>25.28592369680392</v>
      </c>
      <c r="D91" s="13">
        <v>115857.77109041181</v>
      </c>
      <c r="E91" s="13">
        <v>117857.77109041181</v>
      </c>
      <c r="F91" s="13">
        <v>119857.77109041181</v>
      </c>
      <c r="G91" s="13">
        <v>121857.77109041181</v>
      </c>
      <c r="H91" s="13">
        <v>123857.77109041181</v>
      </c>
      <c r="I91" s="13">
        <v>125857.77109041181</v>
      </c>
      <c r="J91" s="13">
        <v>124287.38957443135</v>
      </c>
      <c r="K91" s="13">
        <v>121287.38957443135</v>
      </c>
      <c r="L91" s="13">
        <v>118287.38957443135</v>
      </c>
      <c r="M91" s="13">
        <v>115287.38957443135</v>
      </c>
      <c r="N91" s="13">
        <v>112287.38957443135</v>
      </c>
      <c r="O91" s="13">
        <v>109287.38957443135</v>
      </c>
      <c r="P91" s="13">
        <v>106287.38957443135</v>
      </c>
      <c r="Q91" s="13">
        <v>103287.38957443135</v>
      </c>
      <c r="R91" s="13">
        <v>100287.38957443135</v>
      </c>
      <c r="S91" s="13">
        <v>97287.389574431349</v>
      </c>
      <c r="T91" s="13">
        <v>94287.389574431349</v>
      </c>
      <c r="U91" s="13">
        <v>91287.389574431349</v>
      </c>
      <c r="V91" s="13">
        <v>88287.389574431349</v>
      </c>
      <c r="W91" s="13">
        <v>85287.389574431349</v>
      </c>
      <c r="X91" s="13">
        <v>82287.389574431349</v>
      </c>
    </row>
    <row r="92" spans="1:24" x14ac:dyDescent="0.35">
      <c r="A92" s="34">
        <v>65</v>
      </c>
      <c r="B92" s="2">
        <v>0.43962915429314053</v>
      </c>
      <c r="C92" s="91">
        <f t="shared" si="7"/>
        <v>28.480904914353424</v>
      </c>
      <c r="D92" s="13">
        <v>125442.71474306029</v>
      </c>
      <c r="E92" s="13">
        <v>127442.71474306029</v>
      </c>
      <c r="F92" s="13">
        <v>129442.71474306029</v>
      </c>
      <c r="G92" s="13">
        <v>131442.71474306029</v>
      </c>
      <c r="H92" s="13">
        <v>133442.71474306029</v>
      </c>
      <c r="I92" s="13">
        <v>135442.71474306029</v>
      </c>
      <c r="J92" s="13">
        <v>137442.71474306029</v>
      </c>
      <c r="K92" s="13">
        <v>139442.71474306029</v>
      </c>
      <c r="L92" s="13">
        <v>141442.71474306029</v>
      </c>
      <c r="M92" s="13">
        <v>140847.23931482737</v>
      </c>
      <c r="N92" s="13">
        <v>137847.23931482737</v>
      </c>
      <c r="O92" s="13">
        <v>134847.23931482737</v>
      </c>
      <c r="P92" s="13">
        <v>131847.23931482737</v>
      </c>
      <c r="Q92" s="13">
        <v>128847.23931482737</v>
      </c>
      <c r="R92" s="13">
        <v>125847.23931482737</v>
      </c>
      <c r="S92" s="13">
        <v>122847.23931482737</v>
      </c>
      <c r="T92" s="13">
        <v>119847.23931482737</v>
      </c>
      <c r="U92" s="13">
        <v>116847.23931482737</v>
      </c>
      <c r="V92" s="13">
        <v>113847.23931482737</v>
      </c>
      <c r="W92" s="13">
        <v>110847.23931482737</v>
      </c>
      <c r="X92" s="13">
        <v>107847.23931482737</v>
      </c>
    </row>
    <row r="93" spans="1:24" x14ac:dyDescent="0.35">
      <c r="A93" s="34">
        <v>66</v>
      </c>
      <c r="B93" s="2">
        <v>0.98659567628072142</v>
      </c>
      <c r="C93" s="91">
        <f t="shared" ref="C93:C156" si="8">_xlfn.NORM.INV(B93,$F$6,$F$8)</f>
        <v>52.14292744129871</v>
      </c>
      <c r="D93" s="13">
        <v>196428.78232389619</v>
      </c>
      <c r="E93" s="13">
        <v>198428.78232389619</v>
      </c>
      <c r="F93" s="13">
        <v>200428.78232389619</v>
      </c>
      <c r="G93" s="13">
        <v>202428.78232389619</v>
      </c>
      <c r="H93" s="13">
        <v>204428.78232389619</v>
      </c>
      <c r="I93" s="13">
        <v>206428.78232389619</v>
      </c>
      <c r="J93" s="13">
        <v>208428.78232389619</v>
      </c>
      <c r="K93" s="13">
        <v>210428.78232389619</v>
      </c>
      <c r="L93" s="13">
        <v>212428.78232389619</v>
      </c>
      <c r="M93" s="13">
        <v>214428.78232389619</v>
      </c>
      <c r="N93" s="13">
        <v>216428.78232389619</v>
      </c>
      <c r="O93" s="13">
        <v>218428.78232389619</v>
      </c>
      <c r="P93" s="13">
        <v>220428.78232389619</v>
      </c>
      <c r="Q93" s="13">
        <v>222428.78232389619</v>
      </c>
      <c r="R93" s="13">
        <v>224428.78232389619</v>
      </c>
      <c r="S93" s="13">
        <v>226428.78232389619</v>
      </c>
      <c r="T93" s="13">
        <v>228428.78232389619</v>
      </c>
      <c r="U93" s="13">
        <v>230428.78232389619</v>
      </c>
      <c r="V93" s="13">
        <v>232428.78232389619</v>
      </c>
      <c r="W93" s="13">
        <v>234428.78232389619</v>
      </c>
      <c r="X93" s="13">
        <v>236428.78232389619</v>
      </c>
    </row>
    <row r="94" spans="1:24" x14ac:dyDescent="0.35">
      <c r="A94" s="34">
        <v>67</v>
      </c>
      <c r="B94" s="2">
        <v>0.48737923217248746</v>
      </c>
      <c r="C94" s="91">
        <f t="shared" si="8"/>
        <v>29.683591478030092</v>
      </c>
      <c r="D94" s="13">
        <v>129050.77443409024</v>
      </c>
      <c r="E94" s="13">
        <v>131050.77443409024</v>
      </c>
      <c r="F94" s="13">
        <v>133050.77443409024</v>
      </c>
      <c r="G94" s="13">
        <v>135050.77443409024</v>
      </c>
      <c r="H94" s="13">
        <v>137050.77443409024</v>
      </c>
      <c r="I94" s="13">
        <v>139050.77443409024</v>
      </c>
      <c r="J94" s="13">
        <v>141050.77443409024</v>
      </c>
      <c r="K94" s="13">
        <v>143050.77443409024</v>
      </c>
      <c r="L94" s="13">
        <v>145050.77443409024</v>
      </c>
      <c r="M94" s="13">
        <v>147050.77443409024</v>
      </c>
      <c r="N94" s="13">
        <v>147468.73182424065</v>
      </c>
      <c r="O94" s="13">
        <v>144468.73182424065</v>
      </c>
      <c r="P94" s="13">
        <v>141468.73182424065</v>
      </c>
      <c r="Q94" s="13">
        <v>138468.73182424065</v>
      </c>
      <c r="R94" s="13">
        <v>135468.73182424065</v>
      </c>
      <c r="S94" s="13">
        <v>132468.73182424065</v>
      </c>
      <c r="T94" s="13">
        <v>129468.73182424065</v>
      </c>
      <c r="U94" s="13">
        <v>126468.73182424065</v>
      </c>
      <c r="V94" s="13">
        <v>123468.73182424065</v>
      </c>
      <c r="W94" s="13">
        <v>120468.73182424065</v>
      </c>
      <c r="X94" s="13">
        <v>117468.73182424065</v>
      </c>
    </row>
    <row r="95" spans="1:24" x14ac:dyDescent="0.35">
      <c r="A95" s="34">
        <v>68</v>
      </c>
      <c r="B95" s="2">
        <v>0.48449671605439215</v>
      </c>
      <c r="C95" s="91">
        <f t="shared" si="8"/>
        <v>29.611292437949235</v>
      </c>
      <c r="D95" s="13">
        <v>128833.87731384777</v>
      </c>
      <c r="E95" s="13">
        <v>130833.87731384777</v>
      </c>
      <c r="F95" s="13">
        <v>132833.87731384777</v>
      </c>
      <c r="G95" s="13">
        <v>134833.87731384777</v>
      </c>
      <c r="H95" s="13">
        <v>136833.87731384777</v>
      </c>
      <c r="I95" s="13">
        <v>138833.87731384777</v>
      </c>
      <c r="J95" s="13">
        <v>140833.87731384777</v>
      </c>
      <c r="K95" s="13">
        <v>142833.87731384777</v>
      </c>
      <c r="L95" s="13">
        <v>144833.87731384777</v>
      </c>
      <c r="M95" s="13">
        <v>146833.87731384777</v>
      </c>
      <c r="N95" s="13">
        <v>146890.33950359398</v>
      </c>
      <c r="O95" s="13">
        <v>143890.33950359398</v>
      </c>
      <c r="P95" s="13">
        <v>140890.33950359398</v>
      </c>
      <c r="Q95" s="13">
        <v>137890.33950359398</v>
      </c>
      <c r="R95" s="13">
        <v>134890.33950359398</v>
      </c>
      <c r="S95" s="13">
        <v>131890.33950359398</v>
      </c>
      <c r="T95" s="13">
        <v>128890.33950359398</v>
      </c>
      <c r="U95" s="13">
        <v>125890.33950359398</v>
      </c>
      <c r="V95" s="13">
        <v>122890.33950359398</v>
      </c>
      <c r="W95" s="13">
        <v>119890.33950359398</v>
      </c>
      <c r="X95" s="13">
        <v>116890.33950359398</v>
      </c>
    </row>
    <row r="96" spans="1:24" x14ac:dyDescent="0.35">
      <c r="A96" s="34">
        <v>69</v>
      </c>
      <c r="B96" s="2">
        <v>0.71849801229692156</v>
      </c>
      <c r="C96" s="91">
        <f t="shared" si="8"/>
        <v>35.783853605543769</v>
      </c>
      <c r="D96" s="13">
        <v>147351.56081663119</v>
      </c>
      <c r="E96" s="13">
        <v>149351.56081663119</v>
      </c>
      <c r="F96" s="13">
        <v>151351.56081663119</v>
      </c>
      <c r="G96" s="13">
        <v>153351.56081663119</v>
      </c>
      <c r="H96" s="13">
        <v>155351.56081663119</v>
      </c>
      <c r="I96" s="13">
        <v>157351.56081663119</v>
      </c>
      <c r="J96" s="13">
        <v>159351.56081663119</v>
      </c>
      <c r="K96" s="13">
        <v>161351.56081663119</v>
      </c>
      <c r="L96" s="13">
        <v>163351.56081663119</v>
      </c>
      <c r="M96" s="13">
        <v>165351.56081663119</v>
      </c>
      <c r="N96" s="13">
        <v>167351.56081663119</v>
      </c>
      <c r="O96" s="13">
        <v>169351.56081663119</v>
      </c>
      <c r="P96" s="13">
        <v>171351.56081663119</v>
      </c>
      <c r="Q96" s="13">
        <v>173351.56081663119</v>
      </c>
      <c r="R96" s="13">
        <v>175351.56081663119</v>
      </c>
      <c r="S96" s="13">
        <v>177351.5608166313</v>
      </c>
      <c r="T96" s="13">
        <v>178270.82884435018</v>
      </c>
      <c r="U96" s="13">
        <v>175270.82884435018</v>
      </c>
      <c r="V96" s="13">
        <v>172270.82884435018</v>
      </c>
      <c r="W96" s="13">
        <v>169270.82884435018</v>
      </c>
      <c r="X96" s="13">
        <v>166270.82884435018</v>
      </c>
    </row>
    <row r="97" spans="1:24" x14ac:dyDescent="0.35">
      <c r="A97" s="34">
        <v>70</v>
      </c>
      <c r="B97" s="2">
        <v>0.9674493244080522</v>
      </c>
      <c r="C97" s="91">
        <f t="shared" si="8"/>
        <v>48.445615044918419</v>
      </c>
      <c r="D97" s="13">
        <v>185336.84513475513</v>
      </c>
      <c r="E97" s="13">
        <v>187336.84513475513</v>
      </c>
      <c r="F97" s="13">
        <v>189336.84513475513</v>
      </c>
      <c r="G97" s="13">
        <v>191336.84513475513</v>
      </c>
      <c r="H97" s="13">
        <v>193336.84513475513</v>
      </c>
      <c r="I97" s="13">
        <v>195336.84513475513</v>
      </c>
      <c r="J97" s="13">
        <v>197336.84513475513</v>
      </c>
      <c r="K97" s="13">
        <v>199336.84513475513</v>
      </c>
      <c r="L97" s="13">
        <v>201336.84513475513</v>
      </c>
      <c r="M97" s="13">
        <v>203336.84513475513</v>
      </c>
      <c r="N97" s="13">
        <v>205336.84513475513</v>
      </c>
      <c r="O97" s="13">
        <v>207336.84513475513</v>
      </c>
      <c r="P97" s="13">
        <v>209336.84513475513</v>
      </c>
      <c r="Q97" s="13">
        <v>211336.84513475513</v>
      </c>
      <c r="R97" s="13">
        <v>213336.84513475513</v>
      </c>
      <c r="S97" s="13">
        <v>215336.84513475513</v>
      </c>
      <c r="T97" s="13">
        <v>217336.84513475513</v>
      </c>
      <c r="U97" s="13">
        <v>219336.84513475513</v>
      </c>
      <c r="V97" s="13">
        <v>221336.84513475513</v>
      </c>
      <c r="W97" s="13">
        <v>223336.84513475513</v>
      </c>
      <c r="X97" s="13">
        <v>225336.84513475513</v>
      </c>
    </row>
    <row r="98" spans="1:24" x14ac:dyDescent="0.35">
      <c r="A98" s="34">
        <v>71</v>
      </c>
      <c r="B98" s="2">
        <v>0.47004165693801792</v>
      </c>
      <c r="C98" s="91">
        <f t="shared" si="8"/>
        <v>29.24834852159827</v>
      </c>
      <c r="D98" s="13">
        <v>127745.0455647948</v>
      </c>
      <c r="E98" s="13">
        <v>129745.0455647948</v>
      </c>
      <c r="F98" s="13">
        <v>131745.0455647948</v>
      </c>
      <c r="G98" s="13">
        <v>133745.0455647948</v>
      </c>
      <c r="H98" s="13">
        <v>135745.0455647948</v>
      </c>
      <c r="I98" s="13">
        <v>137745.0455647948</v>
      </c>
      <c r="J98" s="13">
        <v>139745.0455647948</v>
      </c>
      <c r="K98" s="13">
        <v>141745.0455647948</v>
      </c>
      <c r="L98" s="13">
        <v>143745.0455647948</v>
      </c>
      <c r="M98" s="13">
        <v>145745.0455647948</v>
      </c>
      <c r="N98" s="13">
        <v>143986.78817278612</v>
      </c>
      <c r="O98" s="13">
        <v>140986.78817278612</v>
      </c>
      <c r="P98" s="13">
        <v>137986.78817278612</v>
      </c>
      <c r="Q98" s="13">
        <v>134986.78817278612</v>
      </c>
      <c r="R98" s="13">
        <v>131986.78817278612</v>
      </c>
      <c r="S98" s="13">
        <v>128986.78817278612</v>
      </c>
      <c r="T98" s="13">
        <v>125986.78817278612</v>
      </c>
      <c r="U98" s="13">
        <v>122986.78817278612</v>
      </c>
      <c r="V98" s="13">
        <v>119986.78817278612</v>
      </c>
      <c r="W98" s="13">
        <v>116986.78817278612</v>
      </c>
      <c r="X98" s="13">
        <v>113986.78817278612</v>
      </c>
    </row>
    <row r="99" spans="1:24" x14ac:dyDescent="0.35">
      <c r="A99" s="34">
        <v>72</v>
      </c>
      <c r="B99" s="2">
        <v>0.97651051373011888</v>
      </c>
      <c r="C99" s="91">
        <f t="shared" si="8"/>
        <v>49.864897257366827</v>
      </c>
      <c r="D99" s="13">
        <v>189594.69177210052</v>
      </c>
      <c r="E99" s="13">
        <v>191594.69177210052</v>
      </c>
      <c r="F99" s="13">
        <v>193594.69177210052</v>
      </c>
      <c r="G99" s="13">
        <v>195594.69177210052</v>
      </c>
      <c r="H99" s="13">
        <v>197594.69177210052</v>
      </c>
      <c r="I99" s="13">
        <v>199594.69177210063</v>
      </c>
      <c r="J99" s="13">
        <v>201594.69177210063</v>
      </c>
      <c r="K99" s="13">
        <v>203594.69177210063</v>
      </c>
      <c r="L99" s="13">
        <v>205594.69177210063</v>
      </c>
      <c r="M99" s="13">
        <v>207594.69177210063</v>
      </c>
      <c r="N99" s="13">
        <v>209594.69177210063</v>
      </c>
      <c r="O99" s="13">
        <v>211594.69177210063</v>
      </c>
      <c r="P99" s="13">
        <v>213594.69177210063</v>
      </c>
      <c r="Q99" s="13">
        <v>215594.69177210063</v>
      </c>
      <c r="R99" s="13">
        <v>217594.69177210063</v>
      </c>
      <c r="S99" s="13">
        <v>219594.69177210063</v>
      </c>
      <c r="T99" s="13">
        <v>221594.69177210063</v>
      </c>
      <c r="U99" s="13">
        <v>223594.69177210063</v>
      </c>
      <c r="V99" s="13">
        <v>225594.69177210063</v>
      </c>
      <c r="W99" s="13">
        <v>227594.69177210063</v>
      </c>
      <c r="X99" s="13">
        <v>229594.69177210063</v>
      </c>
    </row>
    <row r="100" spans="1:24" x14ac:dyDescent="0.35">
      <c r="A100" s="34">
        <v>73</v>
      </c>
      <c r="B100" s="2">
        <v>0.24192931589851396</v>
      </c>
      <c r="C100" s="91">
        <f t="shared" si="8"/>
        <v>22.998900329426512</v>
      </c>
      <c r="D100" s="13">
        <v>108996.70098827954</v>
      </c>
      <c r="E100" s="13">
        <v>110996.70098827954</v>
      </c>
      <c r="F100" s="13">
        <v>112996.70098827954</v>
      </c>
      <c r="G100" s="13">
        <v>114991.2026354121</v>
      </c>
      <c r="H100" s="13">
        <v>111991.2026354121</v>
      </c>
      <c r="I100" s="13">
        <v>108991.2026354121</v>
      </c>
      <c r="J100" s="13">
        <v>105991.2026354121</v>
      </c>
      <c r="K100" s="13">
        <v>102991.2026354121</v>
      </c>
      <c r="L100" s="13">
        <v>99991.202635412104</v>
      </c>
      <c r="M100" s="13">
        <v>96991.202635412104</v>
      </c>
      <c r="N100" s="13">
        <v>93991.202635412104</v>
      </c>
      <c r="O100" s="13">
        <v>90991.202635412104</v>
      </c>
      <c r="P100" s="13">
        <v>87991.202635412104</v>
      </c>
      <c r="Q100" s="13">
        <v>84991.202635412104</v>
      </c>
      <c r="R100" s="13">
        <v>81991.202635412104</v>
      </c>
      <c r="S100" s="13">
        <v>78991.202635412104</v>
      </c>
      <c r="T100" s="13">
        <v>75991.202635412104</v>
      </c>
      <c r="U100" s="13">
        <v>72991.202635412104</v>
      </c>
      <c r="V100" s="13">
        <v>69991.202635412104</v>
      </c>
      <c r="W100" s="13">
        <v>66991.202635412104</v>
      </c>
      <c r="X100" s="13">
        <v>63991.202635412104</v>
      </c>
    </row>
    <row r="101" spans="1:24" x14ac:dyDescent="0.35">
      <c r="A101" s="34">
        <v>74</v>
      </c>
      <c r="B101" s="2">
        <v>0.25009838182113731</v>
      </c>
      <c r="C101" s="91">
        <f t="shared" si="8"/>
        <v>23.258198118063973</v>
      </c>
      <c r="D101" s="13">
        <v>109774.59435419197</v>
      </c>
      <c r="E101" s="13">
        <v>111774.59435419197</v>
      </c>
      <c r="F101" s="13">
        <v>113774.59435419197</v>
      </c>
      <c r="G101" s="13">
        <v>115774.59435419197</v>
      </c>
      <c r="H101" s="13">
        <v>114065.58494451188</v>
      </c>
      <c r="I101" s="13">
        <v>111065.58494451188</v>
      </c>
      <c r="J101" s="13">
        <v>108065.58494451188</v>
      </c>
      <c r="K101" s="13">
        <v>105065.58494451188</v>
      </c>
      <c r="L101" s="13">
        <v>102065.58494451188</v>
      </c>
      <c r="M101" s="13">
        <v>99065.58494451188</v>
      </c>
      <c r="N101" s="13">
        <v>96065.58494451188</v>
      </c>
      <c r="O101" s="13">
        <v>93065.58494451188</v>
      </c>
      <c r="P101" s="13">
        <v>90065.58494451188</v>
      </c>
      <c r="Q101" s="13">
        <v>87065.58494451188</v>
      </c>
      <c r="R101" s="13">
        <v>84065.58494451188</v>
      </c>
      <c r="S101" s="13">
        <v>81065.58494451188</v>
      </c>
      <c r="T101" s="13">
        <v>78065.58494451188</v>
      </c>
      <c r="U101" s="13">
        <v>75065.58494451188</v>
      </c>
      <c r="V101" s="13">
        <v>72065.58494451188</v>
      </c>
      <c r="W101" s="13">
        <v>69065.584944511764</v>
      </c>
      <c r="X101" s="13">
        <v>66065.584944511764</v>
      </c>
    </row>
    <row r="102" spans="1:24" x14ac:dyDescent="0.35">
      <c r="A102" s="34">
        <v>75</v>
      </c>
      <c r="B102" s="2">
        <v>9.6182954246286201E-2</v>
      </c>
      <c r="C102" s="91">
        <f t="shared" si="8"/>
        <v>16.963880040852075</v>
      </c>
      <c r="D102" s="13">
        <v>75711.040326816612</v>
      </c>
      <c r="E102" s="13">
        <v>72711.040326816612</v>
      </c>
      <c r="F102" s="13">
        <v>69711.040326816612</v>
      </c>
      <c r="G102" s="13">
        <v>66711.040326816612</v>
      </c>
      <c r="H102" s="13">
        <v>63711.040326816612</v>
      </c>
      <c r="I102" s="13">
        <v>60711.040326816612</v>
      </c>
      <c r="J102" s="13">
        <v>57711.040326816612</v>
      </c>
      <c r="K102" s="13">
        <v>54711.040326816612</v>
      </c>
      <c r="L102" s="13">
        <v>51711.040326816612</v>
      </c>
      <c r="M102" s="13">
        <v>48711.040326816612</v>
      </c>
      <c r="N102" s="13">
        <v>45711.040326816612</v>
      </c>
      <c r="O102" s="13">
        <v>42711.040326816612</v>
      </c>
      <c r="P102" s="13">
        <v>39711.040326816612</v>
      </c>
      <c r="Q102" s="13">
        <v>36711.040326816612</v>
      </c>
      <c r="R102" s="13">
        <v>33711.040326816612</v>
      </c>
      <c r="S102" s="13">
        <v>30711.040326816612</v>
      </c>
      <c r="T102" s="13">
        <v>27711.040326816612</v>
      </c>
      <c r="U102" s="13">
        <v>24711.040326816612</v>
      </c>
      <c r="V102" s="13">
        <v>21711.040326816612</v>
      </c>
      <c r="W102" s="13">
        <v>18711.040326816612</v>
      </c>
      <c r="X102" s="13">
        <v>15711.040326816612</v>
      </c>
    </row>
    <row r="103" spans="1:24" x14ac:dyDescent="0.35">
      <c r="A103" s="34">
        <v>76</v>
      </c>
      <c r="B103" s="2">
        <v>0.70131561138954568</v>
      </c>
      <c r="C103" s="91">
        <f t="shared" si="8"/>
        <v>35.28188115500955</v>
      </c>
      <c r="D103" s="13">
        <v>145845.64346502861</v>
      </c>
      <c r="E103" s="13">
        <v>147845.64346502861</v>
      </c>
      <c r="F103" s="13">
        <v>149845.64346502861</v>
      </c>
      <c r="G103" s="13">
        <v>151845.64346502861</v>
      </c>
      <c r="H103" s="13">
        <v>153845.64346502861</v>
      </c>
      <c r="I103" s="13">
        <v>155845.64346502861</v>
      </c>
      <c r="J103" s="13">
        <v>157845.64346502861</v>
      </c>
      <c r="K103" s="13">
        <v>159845.64346502861</v>
      </c>
      <c r="L103" s="13">
        <v>161845.64346502861</v>
      </c>
      <c r="M103" s="13">
        <v>163845.64346502861</v>
      </c>
      <c r="N103" s="13">
        <v>165845.64346502861</v>
      </c>
      <c r="O103" s="13">
        <v>167845.64346502861</v>
      </c>
      <c r="P103" s="13">
        <v>169845.64346502861</v>
      </c>
      <c r="Q103" s="13">
        <v>171845.64346502861</v>
      </c>
      <c r="R103" s="13">
        <v>173845.64346502861</v>
      </c>
      <c r="S103" s="13">
        <v>175845.64346502861</v>
      </c>
      <c r="T103" s="13">
        <v>174255.04924007633</v>
      </c>
      <c r="U103" s="13">
        <v>171255.04924007633</v>
      </c>
      <c r="V103" s="13">
        <v>168255.04924007633</v>
      </c>
      <c r="W103" s="13">
        <v>165255.04924007633</v>
      </c>
      <c r="X103" s="13">
        <v>162255.04924007633</v>
      </c>
    </row>
    <row r="104" spans="1:24" x14ac:dyDescent="0.35">
      <c r="A104" s="34">
        <v>77</v>
      </c>
      <c r="B104" s="2">
        <v>0.96570318716975578</v>
      </c>
      <c r="C104" s="91">
        <f t="shared" si="8"/>
        <v>48.210870488311656</v>
      </c>
      <c r="D104" s="13">
        <v>184632.61146493501</v>
      </c>
      <c r="E104" s="13">
        <v>186632.61146493501</v>
      </c>
      <c r="F104" s="13">
        <v>188632.61146493501</v>
      </c>
      <c r="G104" s="13">
        <v>190632.61146493501</v>
      </c>
      <c r="H104" s="13">
        <v>192632.61146493501</v>
      </c>
      <c r="I104" s="13">
        <v>194632.61146493501</v>
      </c>
      <c r="J104" s="13">
        <v>196632.61146493501</v>
      </c>
      <c r="K104" s="13">
        <v>198632.61146493501</v>
      </c>
      <c r="L104" s="13">
        <v>200632.61146493501</v>
      </c>
      <c r="M104" s="13">
        <v>202632.61146493501</v>
      </c>
      <c r="N104" s="13">
        <v>204632.61146493501</v>
      </c>
      <c r="O104" s="13">
        <v>206632.61146493501</v>
      </c>
      <c r="P104" s="13">
        <v>208632.61146493501</v>
      </c>
      <c r="Q104" s="13">
        <v>210632.61146493501</v>
      </c>
      <c r="R104" s="13">
        <v>212632.61146493501</v>
      </c>
      <c r="S104" s="13">
        <v>214632.61146493501</v>
      </c>
      <c r="T104" s="13">
        <v>216632.61146493501</v>
      </c>
      <c r="U104" s="13">
        <v>218632.61146493501</v>
      </c>
      <c r="V104" s="13">
        <v>220632.61146493501</v>
      </c>
      <c r="W104" s="13">
        <v>222632.61146493501</v>
      </c>
      <c r="X104" s="13">
        <v>224632.61146493501</v>
      </c>
    </row>
    <row r="105" spans="1:24" x14ac:dyDescent="0.35">
      <c r="A105" s="34">
        <v>78</v>
      </c>
      <c r="B105" s="2">
        <v>0.6643780066897359</v>
      </c>
      <c r="C105" s="91">
        <f t="shared" si="8"/>
        <v>34.244413269788495</v>
      </c>
      <c r="D105" s="13">
        <v>142733.23980936548</v>
      </c>
      <c r="E105" s="13">
        <v>144733.23980936548</v>
      </c>
      <c r="F105" s="13">
        <v>146733.23980936548</v>
      </c>
      <c r="G105" s="13">
        <v>148733.23980936548</v>
      </c>
      <c r="H105" s="13">
        <v>150733.23980936548</v>
      </c>
      <c r="I105" s="13">
        <v>152733.23980936548</v>
      </c>
      <c r="J105" s="13">
        <v>154733.23980936548</v>
      </c>
      <c r="K105" s="13">
        <v>156733.23980936548</v>
      </c>
      <c r="L105" s="13">
        <v>158733.23980936548</v>
      </c>
      <c r="M105" s="13">
        <v>160733.23980936548</v>
      </c>
      <c r="N105" s="13">
        <v>162733.23980936559</v>
      </c>
      <c r="O105" s="13">
        <v>164733.23980936559</v>
      </c>
      <c r="P105" s="13">
        <v>166733.23980936548</v>
      </c>
      <c r="Q105" s="13">
        <v>168733.23980936548</v>
      </c>
      <c r="R105" s="13">
        <v>170733.23980936548</v>
      </c>
      <c r="S105" s="13">
        <v>168955.30615830806</v>
      </c>
      <c r="T105" s="13">
        <v>165955.30615830806</v>
      </c>
      <c r="U105" s="13">
        <v>162955.30615830806</v>
      </c>
      <c r="V105" s="13">
        <v>159955.30615830806</v>
      </c>
      <c r="W105" s="13">
        <v>156955.30615830806</v>
      </c>
      <c r="X105" s="13">
        <v>153955.30615830806</v>
      </c>
    </row>
    <row r="106" spans="1:24" x14ac:dyDescent="0.35">
      <c r="A106" s="34">
        <v>79</v>
      </c>
      <c r="B106" s="2">
        <v>0.61589317795425058</v>
      </c>
      <c r="C106" s="91">
        <f t="shared" si="8"/>
        <v>32.947123290111584</v>
      </c>
      <c r="D106" s="13">
        <v>138841.36987033463</v>
      </c>
      <c r="E106" s="13">
        <v>140841.36987033463</v>
      </c>
      <c r="F106" s="13">
        <v>142841.36987033463</v>
      </c>
      <c r="G106" s="13">
        <v>144841.36987033475</v>
      </c>
      <c r="H106" s="13">
        <v>146841.36987033475</v>
      </c>
      <c r="I106" s="13">
        <v>148841.36987033475</v>
      </c>
      <c r="J106" s="13">
        <v>150841.36987033475</v>
      </c>
      <c r="K106" s="13">
        <v>152841.36987033475</v>
      </c>
      <c r="L106" s="13">
        <v>154841.36987033475</v>
      </c>
      <c r="M106" s="13">
        <v>156841.36987033475</v>
      </c>
      <c r="N106" s="13">
        <v>158841.36987033475</v>
      </c>
      <c r="O106" s="13">
        <v>160841.36987033475</v>
      </c>
      <c r="P106" s="13">
        <v>162841.36987033475</v>
      </c>
      <c r="Q106" s="13">
        <v>164576.9863208927</v>
      </c>
      <c r="R106" s="13">
        <v>161576.9863208927</v>
      </c>
      <c r="S106" s="13">
        <v>158576.9863208927</v>
      </c>
      <c r="T106" s="13">
        <v>155576.9863208927</v>
      </c>
      <c r="U106" s="13">
        <v>152576.9863208927</v>
      </c>
      <c r="V106" s="13">
        <v>149576.9863208927</v>
      </c>
      <c r="W106" s="13">
        <v>146576.9863208927</v>
      </c>
      <c r="X106" s="13">
        <v>143576.9863208927</v>
      </c>
    </row>
    <row r="107" spans="1:24" x14ac:dyDescent="0.35">
      <c r="A107" s="34">
        <v>80</v>
      </c>
      <c r="B107" s="2">
        <v>0.17251776017175602</v>
      </c>
      <c r="C107" s="91">
        <f t="shared" si="8"/>
        <v>20.557374931097769</v>
      </c>
      <c r="D107" s="13">
        <v>101672.1247932933</v>
      </c>
      <c r="E107" s="13">
        <v>101458.99944878212</v>
      </c>
      <c r="F107" s="13">
        <v>98458.999448782182</v>
      </c>
      <c r="G107" s="13">
        <v>95458.999448782182</v>
      </c>
      <c r="H107" s="13">
        <v>92458.999448782182</v>
      </c>
      <c r="I107" s="13">
        <v>89458.999448782182</v>
      </c>
      <c r="J107" s="13">
        <v>86458.999448782182</v>
      </c>
      <c r="K107" s="13">
        <v>83458.999448782182</v>
      </c>
      <c r="L107" s="13">
        <v>80458.999448782182</v>
      </c>
      <c r="M107" s="13">
        <v>77458.999448782182</v>
      </c>
      <c r="N107" s="13">
        <v>74458.999448782182</v>
      </c>
      <c r="O107" s="13">
        <v>71458.999448782182</v>
      </c>
      <c r="P107" s="13">
        <v>68458.999448782182</v>
      </c>
      <c r="Q107" s="13">
        <v>65458.999448782182</v>
      </c>
      <c r="R107" s="13">
        <v>62458.999448782182</v>
      </c>
      <c r="S107" s="13">
        <v>59458.999448782182</v>
      </c>
      <c r="T107" s="13">
        <v>56458.999448782066</v>
      </c>
      <c r="U107" s="13">
        <v>53458.999448782066</v>
      </c>
      <c r="V107" s="13">
        <v>50458.999448782066</v>
      </c>
      <c r="W107" s="13">
        <v>47458.999448782066</v>
      </c>
      <c r="X107" s="13">
        <v>44458.999448782066</v>
      </c>
    </row>
    <row r="108" spans="1:24" x14ac:dyDescent="0.35">
      <c r="A108" s="34">
        <v>81</v>
      </c>
      <c r="B108" s="2">
        <v>0.64043334877391089</v>
      </c>
      <c r="C108" s="91">
        <f t="shared" si="8"/>
        <v>33.596173561523173</v>
      </c>
      <c r="D108" s="13">
        <v>140788.52068456961</v>
      </c>
      <c r="E108" s="13">
        <v>142788.52068456961</v>
      </c>
      <c r="F108" s="13">
        <v>144788.52068456961</v>
      </c>
      <c r="G108" s="13">
        <v>146788.52068456961</v>
      </c>
      <c r="H108" s="13">
        <v>148788.52068456961</v>
      </c>
      <c r="I108" s="13">
        <v>150788.52068456961</v>
      </c>
      <c r="J108" s="13">
        <v>152788.52068456961</v>
      </c>
      <c r="K108" s="13">
        <v>154788.52068456961</v>
      </c>
      <c r="L108" s="13">
        <v>156788.52068456961</v>
      </c>
      <c r="M108" s="13">
        <v>158788.52068456961</v>
      </c>
      <c r="N108" s="13">
        <v>160788.52068456961</v>
      </c>
      <c r="O108" s="13">
        <v>162788.52068456961</v>
      </c>
      <c r="P108" s="13">
        <v>164788.52068456961</v>
      </c>
      <c r="Q108" s="13">
        <v>166788.52068456961</v>
      </c>
      <c r="R108" s="13">
        <v>166769.38849218539</v>
      </c>
      <c r="S108" s="13">
        <v>163769.38849218539</v>
      </c>
      <c r="T108" s="13">
        <v>160769.38849218539</v>
      </c>
      <c r="U108" s="13">
        <v>157769.38849218539</v>
      </c>
      <c r="V108" s="13">
        <v>154769.38849218539</v>
      </c>
      <c r="W108" s="13">
        <v>151769.38849218539</v>
      </c>
      <c r="X108" s="13">
        <v>148769.38849218539</v>
      </c>
    </row>
    <row r="109" spans="1:24" x14ac:dyDescent="0.35">
      <c r="A109" s="34">
        <v>82</v>
      </c>
      <c r="B109" s="2">
        <v>7.7265831522287054E-2</v>
      </c>
      <c r="C109" s="91">
        <f t="shared" si="8"/>
        <v>15.762942310586784</v>
      </c>
      <c r="D109" s="13">
        <v>66103.538484694262</v>
      </c>
      <c r="E109" s="13">
        <v>63103.538484694262</v>
      </c>
      <c r="F109" s="13">
        <v>60103.538484694262</v>
      </c>
      <c r="G109" s="13">
        <v>57103.538484694262</v>
      </c>
      <c r="H109" s="13">
        <v>54103.538484694203</v>
      </c>
      <c r="I109" s="13">
        <v>51103.538484694203</v>
      </c>
      <c r="J109" s="13">
        <v>48103.538484694203</v>
      </c>
      <c r="K109" s="13">
        <v>45103.538484694203</v>
      </c>
      <c r="L109" s="13">
        <v>42103.538484694203</v>
      </c>
      <c r="M109" s="13">
        <v>39103.538484694203</v>
      </c>
      <c r="N109" s="13">
        <v>36103.538484694203</v>
      </c>
      <c r="O109" s="13">
        <v>33103.538484694203</v>
      </c>
      <c r="P109" s="13">
        <v>30103.538484694203</v>
      </c>
      <c r="Q109" s="13">
        <v>27103.538484694203</v>
      </c>
      <c r="R109" s="13">
        <v>24103.538484694203</v>
      </c>
      <c r="S109" s="13">
        <v>21103.538484694203</v>
      </c>
      <c r="T109" s="13">
        <v>18103.538484694203</v>
      </c>
      <c r="U109" s="13">
        <v>15103.538484694203</v>
      </c>
      <c r="V109" s="13">
        <v>12103.538484694203</v>
      </c>
      <c r="W109" s="13">
        <v>9103.5384846942034</v>
      </c>
      <c r="X109" s="13">
        <v>6103.5384846942034</v>
      </c>
    </row>
    <row r="110" spans="1:24" x14ac:dyDescent="0.35">
      <c r="A110" s="34">
        <v>83</v>
      </c>
      <c r="B110" s="2">
        <v>0.96533847916895599</v>
      </c>
      <c r="C110" s="91">
        <f t="shared" si="8"/>
        <v>48.163086332991114</v>
      </c>
      <c r="D110" s="13">
        <v>184489.2589989733</v>
      </c>
      <c r="E110" s="13">
        <v>186489.2589989733</v>
      </c>
      <c r="F110" s="13">
        <v>188489.2589989733</v>
      </c>
      <c r="G110" s="13">
        <v>190489.2589989733</v>
      </c>
      <c r="H110" s="13">
        <v>192489.2589989733</v>
      </c>
      <c r="I110" s="13">
        <v>194489.2589989733</v>
      </c>
      <c r="J110" s="13">
        <v>196489.2589989733</v>
      </c>
      <c r="K110" s="13">
        <v>198489.2589989733</v>
      </c>
      <c r="L110" s="13">
        <v>200489.2589989733</v>
      </c>
      <c r="M110" s="13">
        <v>202489.2589989733</v>
      </c>
      <c r="N110" s="13">
        <v>204489.2589989733</v>
      </c>
      <c r="O110" s="13">
        <v>206489.2589989733</v>
      </c>
      <c r="P110" s="13">
        <v>208489.2589989733</v>
      </c>
      <c r="Q110" s="13">
        <v>210489.2589989733</v>
      </c>
      <c r="R110" s="13">
        <v>212489.2589989733</v>
      </c>
      <c r="S110" s="13">
        <v>214489.2589989733</v>
      </c>
      <c r="T110" s="13">
        <v>216489.2589989733</v>
      </c>
      <c r="U110" s="13">
        <v>218489.2589989733</v>
      </c>
      <c r="V110" s="13">
        <v>220489.2589989733</v>
      </c>
      <c r="W110" s="13">
        <v>222489.2589989733</v>
      </c>
      <c r="X110" s="13">
        <v>224489.2589989733</v>
      </c>
    </row>
    <row r="111" spans="1:24" x14ac:dyDescent="0.35">
      <c r="A111" s="34">
        <v>84</v>
      </c>
      <c r="B111" s="2">
        <v>0.58042361639834339</v>
      </c>
      <c r="C111" s="91">
        <f t="shared" si="8"/>
        <v>32.029773097989938</v>
      </c>
      <c r="D111" s="13">
        <v>136089.31929396989</v>
      </c>
      <c r="E111" s="13">
        <v>138089.31929396989</v>
      </c>
      <c r="F111" s="13">
        <v>140089.31929396989</v>
      </c>
      <c r="G111" s="13">
        <v>142089.31929396989</v>
      </c>
      <c r="H111" s="13">
        <v>144089.31929396989</v>
      </c>
      <c r="I111" s="13">
        <v>146089.31929396989</v>
      </c>
      <c r="J111" s="13">
        <v>148089.31929396989</v>
      </c>
      <c r="K111" s="13">
        <v>150089.31929396989</v>
      </c>
      <c r="L111" s="13">
        <v>152089.31929396989</v>
      </c>
      <c r="M111" s="13">
        <v>154089.31929396989</v>
      </c>
      <c r="N111" s="13">
        <v>156089.31929396978</v>
      </c>
      <c r="O111" s="13">
        <v>158089.31929396978</v>
      </c>
      <c r="P111" s="13">
        <v>160089.31929396978</v>
      </c>
      <c r="Q111" s="13">
        <v>157238.18478391948</v>
      </c>
      <c r="R111" s="13">
        <v>154238.18478391948</v>
      </c>
      <c r="S111" s="13">
        <v>151238.18478391948</v>
      </c>
      <c r="T111" s="13">
        <v>148238.18478391948</v>
      </c>
      <c r="U111" s="13">
        <v>145238.18478391948</v>
      </c>
      <c r="V111" s="13">
        <v>142238.18478391948</v>
      </c>
      <c r="W111" s="13">
        <v>139238.18478391948</v>
      </c>
      <c r="X111" s="13">
        <v>136238.18478391948</v>
      </c>
    </row>
    <row r="112" spans="1:24" x14ac:dyDescent="0.35">
      <c r="A112" s="34">
        <v>85</v>
      </c>
      <c r="B112" s="2">
        <v>0.8371698116637224</v>
      </c>
      <c r="C112" s="91">
        <f t="shared" si="8"/>
        <v>39.828924447450774</v>
      </c>
      <c r="D112" s="13">
        <v>159486.77334235224</v>
      </c>
      <c r="E112" s="13">
        <v>161486.77334235224</v>
      </c>
      <c r="F112" s="13">
        <v>163486.77334235224</v>
      </c>
      <c r="G112" s="13">
        <v>165486.77334235224</v>
      </c>
      <c r="H112" s="13">
        <v>167486.77334235224</v>
      </c>
      <c r="I112" s="13">
        <v>169486.77334235224</v>
      </c>
      <c r="J112" s="13">
        <v>171486.77334235224</v>
      </c>
      <c r="K112" s="13">
        <v>173486.77334235224</v>
      </c>
      <c r="L112" s="13">
        <v>175486.77334235224</v>
      </c>
      <c r="M112" s="13">
        <v>177486.77334235224</v>
      </c>
      <c r="N112" s="13">
        <v>179486.77334235224</v>
      </c>
      <c r="O112" s="13">
        <v>181486.77334235224</v>
      </c>
      <c r="P112" s="13">
        <v>183486.77334235224</v>
      </c>
      <c r="Q112" s="13">
        <v>185486.77334235224</v>
      </c>
      <c r="R112" s="13">
        <v>187486.77334235224</v>
      </c>
      <c r="S112" s="13">
        <v>189486.77334235224</v>
      </c>
      <c r="T112" s="13">
        <v>191486.77334235224</v>
      </c>
      <c r="U112" s="13">
        <v>193486.77334235224</v>
      </c>
      <c r="V112" s="13">
        <v>195486.77334235224</v>
      </c>
      <c r="W112" s="13">
        <v>197486.77334235224</v>
      </c>
      <c r="X112" s="13">
        <v>198631.39557960618</v>
      </c>
    </row>
    <row r="113" spans="1:24" x14ac:dyDescent="0.35">
      <c r="A113" s="34">
        <v>86</v>
      </c>
      <c r="B113" s="2">
        <v>0.26494346452187856</v>
      </c>
      <c r="C113" s="91">
        <f t="shared" si="8"/>
        <v>23.718213717349222</v>
      </c>
      <c r="D113" s="13">
        <v>111154.64115204767</v>
      </c>
      <c r="E113" s="13">
        <v>113154.64115204767</v>
      </c>
      <c r="F113" s="13">
        <v>115154.64115204767</v>
      </c>
      <c r="G113" s="13">
        <v>117154.64115204767</v>
      </c>
      <c r="H113" s="13">
        <v>117745.70973879378</v>
      </c>
      <c r="I113" s="13">
        <v>114745.70973879378</v>
      </c>
      <c r="J113" s="13">
        <v>111745.70973879378</v>
      </c>
      <c r="K113" s="13">
        <v>108745.70973879378</v>
      </c>
      <c r="L113" s="13">
        <v>105745.70973879378</v>
      </c>
      <c r="M113" s="13">
        <v>102745.70973879378</v>
      </c>
      <c r="N113" s="13">
        <v>99745.709738793783</v>
      </c>
      <c r="O113" s="13">
        <v>96745.709738793783</v>
      </c>
      <c r="P113" s="13">
        <v>93745.709738793783</v>
      </c>
      <c r="Q113" s="13">
        <v>90745.709738793783</v>
      </c>
      <c r="R113" s="13">
        <v>87745.709738793783</v>
      </c>
      <c r="S113" s="13">
        <v>84745.709738793783</v>
      </c>
      <c r="T113" s="13">
        <v>81745.709738793783</v>
      </c>
      <c r="U113" s="13">
        <v>78745.709738793783</v>
      </c>
      <c r="V113" s="13">
        <v>75745.709738793783</v>
      </c>
      <c r="W113" s="13">
        <v>72745.709738793783</v>
      </c>
      <c r="X113" s="13">
        <v>69745.709738793783</v>
      </c>
    </row>
    <row r="114" spans="1:24" x14ac:dyDescent="0.35">
      <c r="A114" s="34">
        <v>87</v>
      </c>
      <c r="B114" s="2">
        <v>6.007698597270128E-3</v>
      </c>
      <c r="C114" s="91">
        <f t="shared" si="8"/>
        <v>4.8830819697951</v>
      </c>
      <c r="D114" s="13">
        <v>-20935.344241639192</v>
      </c>
      <c r="E114" s="13">
        <v>-23935.34424163925</v>
      </c>
      <c r="F114" s="13">
        <v>-26935.34424163925</v>
      </c>
      <c r="G114" s="13">
        <v>-29935.34424163925</v>
      </c>
      <c r="H114" s="13">
        <v>-32935.34424163925</v>
      </c>
      <c r="I114" s="13">
        <v>-35935.34424163925</v>
      </c>
      <c r="J114" s="13">
        <v>-38935.34424163925</v>
      </c>
      <c r="K114" s="13">
        <v>-41935.34424163925</v>
      </c>
      <c r="L114" s="13">
        <v>-44935.34424163925</v>
      </c>
      <c r="M114" s="13">
        <v>-47935.34424163925</v>
      </c>
      <c r="N114" s="13">
        <v>-50935.34424163925</v>
      </c>
      <c r="O114" s="13">
        <v>-53935.34424163925</v>
      </c>
      <c r="P114" s="13">
        <v>-56935.34424163925</v>
      </c>
      <c r="Q114" s="13">
        <v>-59935.34424163925</v>
      </c>
      <c r="R114" s="13">
        <v>-62935.34424163925</v>
      </c>
      <c r="S114" s="13">
        <v>-65935.34424163925</v>
      </c>
      <c r="T114" s="13">
        <v>-68935.344241639134</v>
      </c>
      <c r="U114" s="13">
        <v>-71935.344241639134</v>
      </c>
      <c r="V114" s="13">
        <v>-74935.344241639134</v>
      </c>
      <c r="W114" s="13">
        <v>-77935.344241639134</v>
      </c>
      <c r="X114" s="13">
        <v>-80935.344241639134</v>
      </c>
    </row>
    <row r="115" spans="1:24" x14ac:dyDescent="0.35">
      <c r="A115" s="34">
        <v>88</v>
      </c>
      <c r="B115" s="2">
        <v>0.99035260003102499</v>
      </c>
      <c r="C115" s="91">
        <f t="shared" si="8"/>
        <v>53.397858492812773</v>
      </c>
      <c r="D115" s="13">
        <v>200193.57547843829</v>
      </c>
      <c r="E115" s="13">
        <v>202193.57547843829</v>
      </c>
      <c r="F115" s="13">
        <v>204193.57547843829</v>
      </c>
      <c r="G115" s="13">
        <v>206193.57547843829</v>
      </c>
      <c r="H115" s="13">
        <v>208193.57547843829</v>
      </c>
      <c r="I115" s="13">
        <v>210193.57547843829</v>
      </c>
      <c r="J115" s="13">
        <v>212193.57547843829</v>
      </c>
      <c r="K115" s="13">
        <v>214193.57547843829</v>
      </c>
      <c r="L115" s="13">
        <v>216193.57547843829</v>
      </c>
      <c r="M115" s="13">
        <v>218193.57547843829</v>
      </c>
      <c r="N115" s="13">
        <v>220193.57547843829</v>
      </c>
      <c r="O115" s="13">
        <v>222193.57547843829</v>
      </c>
      <c r="P115" s="13">
        <v>224193.57547843829</v>
      </c>
      <c r="Q115" s="13">
        <v>226193.57547843829</v>
      </c>
      <c r="R115" s="13">
        <v>228193.57547843829</v>
      </c>
      <c r="S115" s="13">
        <v>230193.57547843829</v>
      </c>
      <c r="T115" s="13">
        <v>232193.57547843829</v>
      </c>
      <c r="U115" s="13">
        <v>234193.57547843829</v>
      </c>
      <c r="V115" s="13">
        <v>236193.57547843829</v>
      </c>
      <c r="W115" s="13">
        <v>238193.57547843829</v>
      </c>
      <c r="X115" s="13">
        <v>240193.57547843829</v>
      </c>
    </row>
    <row r="116" spans="1:24" x14ac:dyDescent="0.35">
      <c r="A116" s="34">
        <v>89</v>
      </c>
      <c r="B116" s="2">
        <v>0.80421645008488529</v>
      </c>
      <c r="C116" s="91">
        <f t="shared" si="8"/>
        <v>38.567788802079129</v>
      </c>
      <c r="D116" s="13">
        <v>155703.36640623747</v>
      </c>
      <c r="E116" s="13">
        <v>157703.36640623747</v>
      </c>
      <c r="F116" s="13">
        <v>159703.36640623747</v>
      </c>
      <c r="G116" s="13">
        <v>161703.36640623747</v>
      </c>
      <c r="H116" s="13">
        <v>163703.36640623747</v>
      </c>
      <c r="I116" s="13">
        <v>165703.36640623747</v>
      </c>
      <c r="J116" s="13">
        <v>167703.36640623747</v>
      </c>
      <c r="K116" s="13">
        <v>169703.36640623747</v>
      </c>
      <c r="L116" s="13">
        <v>171703.36640623747</v>
      </c>
      <c r="M116" s="13">
        <v>173703.36640623747</v>
      </c>
      <c r="N116" s="13">
        <v>175703.36640623747</v>
      </c>
      <c r="O116" s="13">
        <v>177703.36640623747</v>
      </c>
      <c r="P116" s="13">
        <v>179703.36640623747</v>
      </c>
      <c r="Q116" s="13">
        <v>181703.36640623747</v>
      </c>
      <c r="R116" s="13">
        <v>183703.36640623747</v>
      </c>
      <c r="S116" s="13">
        <v>185703.36640623747</v>
      </c>
      <c r="T116" s="13">
        <v>187703.36640623747</v>
      </c>
      <c r="U116" s="13">
        <v>189703.36640623747</v>
      </c>
      <c r="V116" s="13">
        <v>191703.36640623747</v>
      </c>
      <c r="W116" s="13">
        <v>191542.31041663303</v>
      </c>
      <c r="X116" s="13">
        <v>188542.31041663303</v>
      </c>
    </row>
    <row r="117" spans="1:24" x14ac:dyDescent="0.35">
      <c r="A117" s="34">
        <v>90</v>
      </c>
      <c r="B117" s="2">
        <v>0.76432310528191305</v>
      </c>
      <c r="C117" s="91">
        <f t="shared" si="8"/>
        <v>37.202780941435115</v>
      </c>
      <c r="D117" s="13">
        <v>151608.34282430541</v>
      </c>
      <c r="E117" s="13">
        <v>153608.34282430541</v>
      </c>
      <c r="F117" s="13">
        <v>155608.34282430541</v>
      </c>
      <c r="G117" s="13">
        <v>157608.34282430541</v>
      </c>
      <c r="H117" s="13">
        <v>159608.34282430541</v>
      </c>
      <c r="I117" s="13">
        <v>161608.34282430541</v>
      </c>
      <c r="J117" s="13">
        <v>163608.34282430541</v>
      </c>
      <c r="K117" s="13">
        <v>165608.34282430541</v>
      </c>
      <c r="L117" s="13">
        <v>167608.34282430541</v>
      </c>
      <c r="M117" s="13">
        <v>169608.34282430541</v>
      </c>
      <c r="N117" s="13">
        <v>171608.34282430541</v>
      </c>
      <c r="O117" s="13">
        <v>173608.34282430541</v>
      </c>
      <c r="P117" s="13">
        <v>175608.34282430541</v>
      </c>
      <c r="Q117" s="13">
        <v>177608.34282430541</v>
      </c>
      <c r="R117" s="13">
        <v>179608.34282430541</v>
      </c>
      <c r="S117" s="13">
        <v>181608.34282430541</v>
      </c>
      <c r="T117" s="13">
        <v>183608.34282430541</v>
      </c>
      <c r="U117" s="13">
        <v>185608.34282430541</v>
      </c>
      <c r="V117" s="13">
        <v>183622.24753148097</v>
      </c>
      <c r="W117" s="13">
        <v>180622.24753148097</v>
      </c>
      <c r="X117" s="13">
        <v>177622.24753148097</v>
      </c>
    </row>
    <row r="118" spans="1:24" x14ac:dyDescent="0.35">
      <c r="A118" s="34">
        <v>91</v>
      </c>
      <c r="B118" s="2">
        <v>0.90365313189427954</v>
      </c>
      <c r="C118" s="91">
        <f t="shared" si="8"/>
        <v>43.026515902296261</v>
      </c>
      <c r="D118" s="13">
        <v>169079.54770688899</v>
      </c>
      <c r="E118" s="13">
        <v>171079.54770688899</v>
      </c>
      <c r="F118" s="13">
        <v>173079.54770688899</v>
      </c>
      <c r="G118" s="13">
        <v>175079.54770688876</v>
      </c>
      <c r="H118" s="13">
        <v>177079.54770688876</v>
      </c>
      <c r="I118" s="13">
        <v>179079.54770688876</v>
      </c>
      <c r="J118" s="13">
        <v>181079.54770688876</v>
      </c>
      <c r="K118" s="13">
        <v>183079.54770688876</v>
      </c>
      <c r="L118" s="13">
        <v>185079.54770688876</v>
      </c>
      <c r="M118" s="13">
        <v>187079.54770688876</v>
      </c>
      <c r="N118" s="13">
        <v>189079.54770688876</v>
      </c>
      <c r="O118" s="13">
        <v>191079.54770688876</v>
      </c>
      <c r="P118" s="13">
        <v>193079.54770688876</v>
      </c>
      <c r="Q118" s="13">
        <v>195079.54770688876</v>
      </c>
      <c r="R118" s="13">
        <v>197079.54770688876</v>
      </c>
      <c r="S118" s="13">
        <v>199079.54770688876</v>
      </c>
      <c r="T118" s="13">
        <v>201079.54770688876</v>
      </c>
      <c r="U118" s="13">
        <v>203079.54770688876</v>
      </c>
      <c r="V118" s="13">
        <v>205079.54770688876</v>
      </c>
      <c r="W118" s="13">
        <v>207079.54770688876</v>
      </c>
      <c r="X118" s="13">
        <v>209079.54770688876</v>
      </c>
    </row>
    <row r="119" spans="1:24" x14ac:dyDescent="0.35">
      <c r="A119" s="34">
        <v>92</v>
      </c>
      <c r="B119" s="2">
        <v>0.5128711765793974</v>
      </c>
      <c r="C119" s="91">
        <f t="shared" si="8"/>
        <v>30.322688544136522</v>
      </c>
      <c r="D119" s="13">
        <v>130968.06563240953</v>
      </c>
      <c r="E119" s="13">
        <v>132968.06563240953</v>
      </c>
      <c r="F119" s="13">
        <v>134968.06563240953</v>
      </c>
      <c r="G119" s="13">
        <v>136968.06563240953</v>
      </c>
      <c r="H119" s="13">
        <v>138968.06563240953</v>
      </c>
      <c r="I119" s="13">
        <v>140968.06563240965</v>
      </c>
      <c r="J119" s="13">
        <v>142968.06563240965</v>
      </c>
      <c r="K119" s="13">
        <v>144968.06563240965</v>
      </c>
      <c r="L119" s="13">
        <v>146968.06563240965</v>
      </c>
      <c r="M119" s="13">
        <v>148968.06563240965</v>
      </c>
      <c r="N119" s="13">
        <v>150968.06563240965</v>
      </c>
      <c r="O119" s="13">
        <v>149581.50835309224</v>
      </c>
      <c r="P119" s="13">
        <v>146581.50835309224</v>
      </c>
      <c r="Q119" s="13">
        <v>143581.50835309224</v>
      </c>
      <c r="R119" s="13">
        <v>140581.50835309224</v>
      </c>
      <c r="S119" s="13">
        <v>137581.50835309224</v>
      </c>
      <c r="T119" s="13">
        <v>134581.50835309224</v>
      </c>
      <c r="U119" s="13">
        <v>131581.50835309224</v>
      </c>
      <c r="V119" s="13">
        <v>128581.50835309224</v>
      </c>
      <c r="W119" s="13">
        <v>125581.50835309224</v>
      </c>
      <c r="X119" s="13">
        <v>122581.50835309224</v>
      </c>
    </row>
    <row r="120" spans="1:24" x14ac:dyDescent="0.35">
      <c r="A120" s="34">
        <v>93</v>
      </c>
      <c r="B120" s="2">
        <v>0.61387590207216991</v>
      </c>
      <c r="C120" s="91">
        <f t="shared" si="8"/>
        <v>32.894354163888728</v>
      </c>
      <c r="D120" s="13">
        <v>138683.06249166629</v>
      </c>
      <c r="E120" s="13">
        <v>140683.06249166629</v>
      </c>
      <c r="F120" s="13">
        <v>142683.06249166629</v>
      </c>
      <c r="G120" s="13">
        <v>144683.06249166629</v>
      </c>
      <c r="H120" s="13">
        <v>146683.06249166629</v>
      </c>
      <c r="I120" s="13">
        <v>148683.06249166629</v>
      </c>
      <c r="J120" s="13">
        <v>150683.06249166629</v>
      </c>
      <c r="K120" s="13">
        <v>152683.06249166629</v>
      </c>
      <c r="L120" s="13">
        <v>154683.06249166629</v>
      </c>
      <c r="M120" s="13">
        <v>156683.06249166629</v>
      </c>
      <c r="N120" s="13">
        <v>158683.06249166629</v>
      </c>
      <c r="O120" s="13">
        <v>160683.06249166629</v>
      </c>
      <c r="P120" s="13">
        <v>162683.06249166618</v>
      </c>
      <c r="Q120" s="13">
        <v>164154.83331110992</v>
      </c>
      <c r="R120" s="13">
        <v>161154.83331110992</v>
      </c>
      <c r="S120" s="13">
        <v>158154.83331110992</v>
      </c>
      <c r="T120" s="13">
        <v>155154.83331110992</v>
      </c>
      <c r="U120" s="13">
        <v>152154.83331110992</v>
      </c>
      <c r="V120" s="13">
        <v>149154.83331110992</v>
      </c>
      <c r="W120" s="13">
        <v>146154.83331110992</v>
      </c>
      <c r="X120" s="13">
        <v>143154.83331110992</v>
      </c>
    </row>
    <row r="121" spans="1:24" x14ac:dyDescent="0.35">
      <c r="A121" s="34">
        <v>94</v>
      </c>
      <c r="B121" s="2">
        <v>0.79413211431606612</v>
      </c>
      <c r="C121" s="91">
        <f t="shared" si="8"/>
        <v>38.208428782152424</v>
      </c>
      <c r="D121" s="13">
        <v>154625.2863464572</v>
      </c>
      <c r="E121" s="13">
        <v>156625.2863464572</v>
      </c>
      <c r="F121" s="13">
        <v>158625.2863464572</v>
      </c>
      <c r="G121" s="13">
        <v>160625.2863464572</v>
      </c>
      <c r="H121" s="13">
        <v>162625.2863464572</v>
      </c>
      <c r="I121" s="13">
        <v>164625.2863464572</v>
      </c>
      <c r="J121" s="13">
        <v>166625.2863464572</v>
      </c>
      <c r="K121" s="13">
        <v>168625.2863464572</v>
      </c>
      <c r="L121" s="13">
        <v>170625.2863464572</v>
      </c>
      <c r="M121" s="13">
        <v>172625.2863464572</v>
      </c>
      <c r="N121" s="13">
        <v>174625.2863464572</v>
      </c>
      <c r="O121" s="13">
        <v>176625.2863464572</v>
      </c>
      <c r="P121" s="13">
        <v>178625.2863464572</v>
      </c>
      <c r="Q121" s="13">
        <v>180625.2863464572</v>
      </c>
      <c r="R121" s="13">
        <v>182625.2863464572</v>
      </c>
      <c r="S121" s="13">
        <v>184625.2863464572</v>
      </c>
      <c r="T121" s="13">
        <v>186625.2863464572</v>
      </c>
      <c r="U121" s="13">
        <v>188625.28634645732</v>
      </c>
      <c r="V121" s="13">
        <v>190625.28634645732</v>
      </c>
      <c r="W121" s="13">
        <v>188667.43025721947</v>
      </c>
      <c r="X121" s="13">
        <v>185667.43025721947</v>
      </c>
    </row>
    <row r="122" spans="1:24" x14ac:dyDescent="0.35">
      <c r="A122" s="34">
        <v>95</v>
      </c>
      <c r="B122" s="2">
        <v>0.59022472545212001</v>
      </c>
      <c r="C122" s="91">
        <f t="shared" si="8"/>
        <v>32.281230912673635</v>
      </c>
      <c r="D122" s="13">
        <v>136843.69273802091</v>
      </c>
      <c r="E122" s="13">
        <v>138843.69273802091</v>
      </c>
      <c r="F122" s="13">
        <v>140843.69273802091</v>
      </c>
      <c r="G122" s="13">
        <v>142843.69273802091</v>
      </c>
      <c r="H122" s="13">
        <v>144843.69273802091</v>
      </c>
      <c r="I122" s="13">
        <v>146843.69273802091</v>
      </c>
      <c r="J122" s="13">
        <v>148843.69273802091</v>
      </c>
      <c r="K122" s="13">
        <v>150843.69273802091</v>
      </c>
      <c r="L122" s="13">
        <v>152843.69273802091</v>
      </c>
      <c r="M122" s="13">
        <v>154843.69273802091</v>
      </c>
      <c r="N122" s="13">
        <v>156843.69273802091</v>
      </c>
      <c r="O122" s="13">
        <v>158843.69273802091</v>
      </c>
      <c r="P122" s="13">
        <v>160843.69273802091</v>
      </c>
      <c r="Q122" s="13">
        <v>159249.84730138909</v>
      </c>
      <c r="R122" s="13">
        <v>156249.84730138909</v>
      </c>
      <c r="S122" s="13">
        <v>153249.84730138909</v>
      </c>
      <c r="T122" s="13">
        <v>150249.84730138909</v>
      </c>
      <c r="U122" s="13">
        <v>147249.84730138909</v>
      </c>
      <c r="V122" s="13">
        <v>144249.84730138909</v>
      </c>
      <c r="W122" s="13">
        <v>141249.84730138909</v>
      </c>
      <c r="X122" s="13">
        <v>138249.84730138909</v>
      </c>
    </row>
    <row r="123" spans="1:24" x14ac:dyDescent="0.35">
      <c r="A123" s="34">
        <v>96</v>
      </c>
      <c r="B123" s="2">
        <v>0.34292297896863067</v>
      </c>
      <c r="C123" s="91">
        <f t="shared" si="8"/>
        <v>25.955011970080434</v>
      </c>
      <c r="D123" s="13">
        <v>117865.03591024131</v>
      </c>
      <c r="E123" s="13">
        <v>119865.03591024131</v>
      </c>
      <c r="F123" s="13">
        <v>121865.03591024131</v>
      </c>
      <c r="G123" s="13">
        <v>123865.03591024131</v>
      </c>
      <c r="H123" s="13">
        <v>125865.03591024131</v>
      </c>
      <c r="I123" s="13">
        <v>127865.03591024131</v>
      </c>
      <c r="J123" s="13">
        <v>129640.09576064348</v>
      </c>
      <c r="K123" s="13">
        <v>126640.09576064348</v>
      </c>
      <c r="L123" s="13">
        <v>123640.09576064348</v>
      </c>
      <c r="M123" s="13">
        <v>120640.09576064348</v>
      </c>
      <c r="N123" s="13">
        <v>117640.09576064348</v>
      </c>
      <c r="O123" s="13">
        <v>114640.09576064348</v>
      </c>
      <c r="P123" s="13">
        <v>111640.09576064348</v>
      </c>
      <c r="Q123" s="13">
        <v>108640.09576064348</v>
      </c>
      <c r="R123" s="13">
        <v>105640.09576064348</v>
      </c>
      <c r="S123" s="13">
        <v>102640.09576064348</v>
      </c>
      <c r="T123" s="13">
        <v>99640.095760643482</v>
      </c>
      <c r="U123" s="13">
        <v>96640.095760643482</v>
      </c>
      <c r="V123" s="13">
        <v>93640.095760643482</v>
      </c>
      <c r="W123" s="13">
        <v>90640.095760643482</v>
      </c>
      <c r="X123" s="13">
        <v>87640.095760643482</v>
      </c>
    </row>
    <row r="124" spans="1:24" x14ac:dyDescent="0.35">
      <c r="A124" s="34">
        <v>97</v>
      </c>
      <c r="B124" s="2">
        <v>0.58277652491184873</v>
      </c>
      <c r="C124" s="91">
        <f t="shared" si="8"/>
        <v>32.090016504772798</v>
      </c>
      <c r="D124" s="13">
        <v>136270.04951431835</v>
      </c>
      <c r="E124" s="13">
        <v>138270.04951431835</v>
      </c>
      <c r="F124" s="13">
        <v>140270.04951431835</v>
      </c>
      <c r="G124" s="13">
        <v>142270.04951431835</v>
      </c>
      <c r="H124" s="13">
        <v>144270.04951431835</v>
      </c>
      <c r="I124" s="13">
        <v>146270.04951431835</v>
      </c>
      <c r="J124" s="13">
        <v>148270.04951431835</v>
      </c>
      <c r="K124" s="13">
        <v>150270.04951431847</v>
      </c>
      <c r="L124" s="13">
        <v>152270.04951431847</v>
      </c>
      <c r="M124" s="13">
        <v>154270.04951431847</v>
      </c>
      <c r="N124" s="13">
        <v>156270.04951431847</v>
      </c>
      <c r="O124" s="13">
        <v>158270.04951431847</v>
      </c>
      <c r="P124" s="13">
        <v>160270.04951431847</v>
      </c>
      <c r="Q124" s="13">
        <v>157720.13203818246</v>
      </c>
      <c r="R124" s="13">
        <v>154720.13203818246</v>
      </c>
      <c r="S124" s="13">
        <v>151720.13203818246</v>
      </c>
      <c r="T124" s="13">
        <v>148720.13203818235</v>
      </c>
      <c r="U124" s="13">
        <v>145720.13203818235</v>
      </c>
      <c r="V124" s="13">
        <v>142720.13203818235</v>
      </c>
      <c r="W124" s="13">
        <v>139720.13203818235</v>
      </c>
      <c r="X124" s="13">
        <v>136720.13203818235</v>
      </c>
    </row>
    <row r="125" spans="1:24" x14ac:dyDescent="0.35">
      <c r="A125" s="34">
        <v>98</v>
      </c>
      <c r="B125" s="2">
        <v>0.10947623937392092</v>
      </c>
      <c r="C125" s="91">
        <f t="shared" si="8"/>
        <v>17.706816735676426</v>
      </c>
      <c r="D125" s="13">
        <v>81654.533885411453</v>
      </c>
      <c r="E125" s="13">
        <v>78654.533885411453</v>
      </c>
      <c r="F125" s="13">
        <v>75654.533885411453</v>
      </c>
      <c r="G125" s="13">
        <v>72654.533885411453</v>
      </c>
      <c r="H125" s="13">
        <v>69654.533885411453</v>
      </c>
      <c r="I125" s="13">
        <v>66654.533885411453</v>
      </c>
      <c r="J125" s="13">
        <v>63654.533885411453</v>
      </c>
      <c r="K125" s="13">
        <v>60654.533885411453</v>
      </c>
      <c r="L125" s="13">
        <v>57654.533885411453</v>
      </c>
      <c r="M125" s="13">
        <v>54654.533885411453</v>
      </c>
      <c r="N125" s="13">
        <v>51654.533885411453</v>
      </c>
      <c r="O125" s="13">
        <v>48654.533885411453</v>
      </c>
      <c r="P125" s="13">
        <v>45654.533885411453</v>
      </c>
      <c r="Q125" s="13">
        <v>42654.533885411453</v>
      </c>
      <c r="R125" s="13">
        <v>39654.533885411453</v>
      </c>
      <c r="S125" s="13">
        <v>36654.533885411453</v>
      </c>
      <c r="T125" s="13">
        <v>33654.533885411453</v>
      </c>
      <c r="U125" s="13">
        <v>30654.533885411453</v>
      </c>
      <c r="V125" s="13">
        <v>27654.533885411453</v>
      </c>
      <c r="W125" s="13">
        <v>24654.533885411453</v>
      </c>
      <c r="X125" s="13">
        <v>21654.533885411453</v>
      </c>
    </row>
    <row r="126" spans="1:24" x14ac:dyDescent="0.35">
      <c r="A126" s="34">
        <v>99</v>
      </c>
      <c r="B126" s="2">
        <v>0.24111003436675083</v>
      </c>
      <c r="C126" s="91">
        <f t="shared" si="8"/>
        <v>22.972636478793682</v>
      </c>
      <c r="D126" s="13">
        <v>108917.90943638107</v>
      </c>
      <c r="E126" s="13">
        <v>110917.90943638107</v>
      </c>
      <c r="F126" s="13">
        <v>112917.90943638107</v>
      </c>
      <c r="G126" s="13">
        <v>114781.09183034941</v>
      </c>
      <c r="H126" s="13">
        <v>111781.09183034941</v>
      </c>
      <c r="I126" s="13">
        <v>108781.09183034941</v>
      </c>
      <c r="J126" s="13">
        <v>105781.09183034941</v>
      </c>
      <c r="K126" s="13">
        <v>102781.09183034941</v>
      </c>
      <c r="L126" s="13">
        <v>99781.091830349411</v>
      </c>
      <c r="M126" s="13">
        <v>96781.091830349411</v>
      </c>
      <c r="N126" s="13">
        <v>93781.091830349411</v>
      </c>
      <c r="O126" s="13">
        <v>90781.091830349411</v>
      </c>
      <c r="P126" s="13">
        <v>87781.091830349411</v>
      </c>
      <c r="Q126" s="13">
        <v>84781.091830349411</v>
      </c>
      <c r="R126" s="13">
        <v>81781.091830349411</v>
      </c>
      <c r="S126" s="13">
        <v>78781.091830349411</v>
      </c>
      <c r="T126" s="13">
        <v>75781.091830349411</v>
      </c>
      <c r="U126" s="13">
        <v>72781.091830349411</v>
      </c>
      <c r="V126" s="13">
        <v>69781.091830349411</v>
      </c>
      <c r="W126" s="13">
        <v>66781.091830349527</v>
      </c>
      <c r="X126" s="13">
        <v>63781.091830349527</v>
      </c>
    </row>
    <row r="127" spans="1:24" x14ac:dyDescent="0.35">
      <c r="A127" s="34">
        <v>100</v>
      </c>
      <c r="B127" s="2">
        <v>4.9036209342627535E-2</v>
      </c>
      <c r="C127" s="91">
        <f t="shared" si="8"/>
        <v>13.45728784191801</v>
      </c>
      <c r="D127" s="13">
        <v>47658.302735344041</v>
      </c>
      <c r="E127" s="13">
        <v>44658.302735344041</v>
      </c>
      <c r="F127" s="13">
        <v>41658.302735344041</v>
      </c>
      <c r="G127" s="13">
        <v>38658.302735344041</v>
      </c>
      <c r="H127" s="13">
        <v>35658.302735344041</v>
      </c>
      <c r="I127" s="13">
        <v>32658.302735344041</v>
      </c>
      <c r="J127" s="13">
        <v>29658.302735344041</v>
      </c>
      <c r="K127" s="13">
        <v>26658.302735344041</v>
      </c>
      <c r="L127" s="13">
        <v>23658.302735344041</v>
      </c>
      <c r="M127" s="13">
        <v>20658.302735344041</v>
      </c>
      <c r="N127" s="13">
        <v>17658.302735344041</v>
      </c>
      <c r="O127" s="13">
        <v>14658.302735344041</v>
      </c>
      <c r="P127" s="13">
        <v>11658.302735344041</v>
      </c>
      <c r="Q127" s="13">
        <v>8658.3027353440411</v>
      </c>
      <c r="R127" s="13">
        <v>5658.3027353440411</v>
      </c>
      <c r="S127" s="13">
        <v>2658.3027353440411</v>
      </c>
      <c r="T127" s="13">
        <v>-341.69726465595886</v>
      </c>
      <c r="U127" s="13">
        <v>-3341.6972646559589</v>
      </c>
      <c r="V127" s="13">
        <v>-6341.6972646559589</v>
      </c>
      <c r="W127" s="13">
        <v>-9341.6972646559589</v>
      </c>
      <c r="X127" s="13">
        <v>-12341.697264655959</v>
      </c>
    </row>
    <row r="128" spans="1:24" x14ac:dyDescent="0.35">
      <c r="A128" s="34">
        <v>101</v>
      </c>
      <c r="B128" s="2">
        <v>0.36832218315563636</v>
      </c>
      <c r="C128" s="91">
        <f t="shared" si="8"/>
        <v>26.636996238603622</v>
      </c>
      <c r="D128" s="13">
        <v>119910.98871581082</v>
      </c>
      <c r="E128" s="13">
        <v>121910.98871581082</v>
      </c>
      <c r="F128" s="13">
        <v>123910.98871581082</v>
      </c>
      <c r="G128" s="13">
        <v>125910.98871581082</v>
      </c>
      <c r="H128" s="13">
        <v>127910.98871581082</v>
      </c>
      <c r="I128" s="13">
        <v>129910.98871581082</v>
      </c>
      <c r="J128" s="13">
        <v>131910.98871581082</v>
      </c>
      <c r="K128" s="13">
        <v>132095.96990882896</v>
      </c>
      <c r="L128" s="13">
        <v>129095.96990882896</v>
      </c>
      <c r="M128" s="13">
        <v>126095.96990882896</v>
      </c>
      <c r="N128" s="13">
        <v>123095.96990882896</v>
      </c>
      <c r="O128" s="13">
        <v>120095.96990882896</v>
      </c>
      <c r="P128" s="13">
        <v>117095.96990882896</v>
      </c>
      <c r="Q128" s="13">
        <v>114095.96990882896</v>
      </c>
      <c r="R128" s="13">
        <v>111095.96990882896</v>
      </c>
      <c r="S128" s="13">
        <v>108095.96990882896</v>
      </c>
      <c r="T128" s="13">
        <v>105095.96990882896</v>
      </c>
      <c r="U128" s="13">
        <v>102095.96990882896</v>
      </c>
      <c r="V128" s="13">
        <v>99095.969908828964</v>
      </c>
      <c r="W128" s="13">
        <v>96095.969908828964</v>
      </c>
      <c r="X128" s="13">
        <v>93095.969908828964</v>
      </c>
    </row>
    <row r="129" spans="1:24" x14ac:dyDescent="0.35">
      <c r="A129" s="34">
        <v>102</v>
      </c>
      <c r="B129" s="2">
        <v>0.25369669647809434</v>
      </c>
      <c r="C129" s="91">
        <f t="shared" si="8"/>
        <v>23.370981127476174</v>
      </c>
      <c r="D129" s="13">
        <v>110112.94338242855</v>
      </c>
      <c r="E129" s="13">
        <v>112112.94338242855</v>
      </c>
      <c r="F129" s="13">
        <v>114112.94338242855</v>
      </c>
      <c r="G129" s="13">
        <v>116112.94338242855</v>
      </c>
      <c r="H129" s="13">
        <v>114967.84901980939</v>
      </c>
      <c r="I129" s="13">
        <v>111967.84901980939</v>
      </c>
      <c r="J129" s="13">
        <v>108967.84901980939</v>
      </c>
      <c r="K129" s="13">
        <v>105967.84901980939</v>
      </c>
      <c r="L129" s="13">
        <v>102967.84901980939</v>
      </c>
      <c r="M129" s="13">
        <v>99967.849019809393</v>
      </c>
      <c r="N129" s="13">
        <v>96967.849019809393</v>
      </c>
      <c r="O129" s="13">
        <v>93967.849019809393</v>
      </c>
      <c r="P129" s="13">
        <v>90967.849019809393</v>
      </c>
      <c r="Q129" s="13">
        <v>87967.849019809393</v>
      </c>
      <c r="R129" s="13">
        <v>84967.849019809393</v>
      </c>
      <c r="S129" s="13">
        <v>81967.849019809393</v>
      </c>
      <c r="T129" s="13">
        <v>78967.849019809393</v>
      </c>
      <c r="U129" s="13">
        <v>75967.849019809393</v>
      </c>
      <c r="V129" s="13">
        <v>72967.849019809393</v>
      </c>
      <c r="W129" s="13">
        <v>69967.849019809393</v>
      </c>
      <c r="X129" s="13">
        <v>66967.849019809393</v>
      </c>
    </row>
    <row r="130" spans="1:24" x14ac:dyDescent="0.35">
      <c r="A130" s="34">
        <v>103</v>
      </c>
      <c r="B130" s="2">
        <v>0.56425973904024129</v>
      </c>
      <c r="C130" s="91">
        <f t="shared" si="8"/>
        <v>31.617781985286026</v>
      </c>
      <c r="D130" s="13">
        <v>134853.34595585812</v>
      </c>
      <c r="E130" s="13">
        <v>136853.34595585812</v>
      </c>
      <c r="F130" s="13">
        <v>138853.34595585812</v>
      </c>
      <c r="G130" s="13">
        <v>140853.34595585812</v>
      </c>
      <c r="H130" s="13">
        <v>142853.34595585812</v>
      </c>
      <c r="I130" s="13">
        <v>144853.34595585812</v>
      </c>
      <c r="J130" s="13">
        <v>146853.34595585812</v>
      </c>
      <c r="K130" s="13">
        <v>148853.34595585812</v>
      </c>
      <c r="L130" s="13">
        <v>150853.34595585812</v>
      </c>
      <c r="M130" s="13">
        <v>152853.34595585812</v>
      </c>
      <c r="N130" s="13">
        <v>154853.34595585812</v>
      </c>
      <c r="O130" s="13">
        <v>156853.34595585812</v>
      </c>
      <c r="P130" s="13">
        <v>156942.25588228821</v>
      </c>
      <c r="Q130" s="13">
        <v>153942.25588228821</v>
      </c>
      <c r="R130" s="13">
        <v>150942.25588228821</v>
      </c>
      <c r="S130" s="13">
        <v>147942.25588228821</v>
      </c>
      <c r="T130" s="13">
        <v>144942.25588228821</v>
      </c>
      <c r="U130" s="13">
        <v>141942.25588228821</v>
      </c>
      <c r="V130" s="13">
        <v>138942.25588228821</v>
      </c>
      <c r="W130" s="13">
        <v>135942.25588228821</v>
      </c>
      <c r="X130" s="13">
        <v>132942.25588228821</v>
      </c>
    </row>
    <row r="131" spans="1:24" x14ac:dyDescent="0.35">
      <c r="A131" s="34">
        <v>104</v>
      </c>
      <c r="B131" s="2">
        <v>0.13256297629234681</v>
      </c>
      <c r="C131" s="91">
        <f t="shared" si="8"/>
        <v>18.85642743158779</v>
      </c>
      <c r="D131" s="13">
        <v>90851.419452702277</v>
      </c>
      <c r="E131" s="13">
        <v>87851.419452702277</v>
      </c>
      <c r="F131" s="13">
        <v>84851.419452702277</v>
      </c>
      <c r="G131" s="13">
        <v>81851.419452702277</v>
      </c>
      <c r="H131" s="13">
        <v>78851.419452702277</v>
      </c>
      <c r="I131" s="13">
        <v>75851.419452702277</v>
      </c>
      <c r="J131" s="13">
        <v>72851.419452702277</v>
      </c>
      <c r="K131" s="13">
        <v>69851.419452702277</v>
      </c>
      <c r="L131" s="13">
        <v>66851.419452702277</v>
      </c>
      <c r="M131" s="13">
        <v>63851.419452702277</v>
      </c>
      <c r="N131" s="13">
        <v>60851.419452702277</v>
      </c>
      <c r="O131" s="13">
        <v>57851.419452702277</v>
      </c>
      <c r="P131" s="13">
        <v>54851.419452702277</v>
      </c>
      <c r="Q131" s="13">
        <v>51851.419452702277</v>
      </c>
      <c r="R131" s="13">
        <v>48851.419452702277</v>
      </c>
      <c r="S131" s="13">
        <v>45851.419452702277</v>
      </c>
      <c r="T131" s="13">
        <v>42851.419452702277</v>
      </c>
      <c r="U131" s="13">
        <v>39851.419452702277</v>
      </c>
      <c r="V131" s="13">
        <v>36851.419452702277</v>
      </c>
      <c r="W131" s="13">
        <v>33851.419452702277</v>
      </c>
      <c r="X131" s="13">
        <v>30851.419452702277</v>
      </c>
    </row>
    <row r="132" spans="1:24" x14ac:dyDescent="0.35">
      <c r="A132" s="34">
        <v>105</v>
      </c>
      <c r="B132" s="2">
        <v>5.769541991168381E-2</v>
      </c>
      <c r="C132" s="91">
        <f t="shared" si="8"/>
        <v>14.255819769308211</v>
      </c>
      <c r="D132" s="13">
        <v>54046.558154465689</v>
      </c>
      <c r="E132" s="13">
        <v>51046.558154465689</v>
      </c>
      <c r="F132" s="13">
        <v>48046.558154465689</v>
      </c>
      <c r="G132" s="13">
        <v>45046.558154465689</v>
      </c>
      <c r="H132" s="13">
        <v>42046.558154465689</v>
      </c>
      <c r="I132" s="13">
        <v>39046.558154465631</v>
      </c>
      <c r="J132" s="13">
        <v>36046.558154465631</v>
      </c>
      <c r="K132" s="13">
        <v>33046.558154465631</v>
      </c>
      <c r="L132" s="13">
        <v>30046.558154465631</v>
      </c>
      <c r="M132" s="13">
        <v>27046.558154465631</v>
      </c>
      <c r="N132" s="13">
        <v>24046.558154465631</v>
      </c>
      <c r="O132" s="13">
        <v>21046.558154465631</v>
      </c>
      <c r="P132" s="13">
        <v>18046.558154465631</v>
      </c>
      <c r="Q132" s="13">
        <v>15046.558154465631</v>
      </c>
      <c r="R132" s="13">
        <v>12046.558154465631</v>
      </c>
      <c r="S132" s="13">
        <v>9046.5581544656307</v>
      </c>
      <c r="T132" s="13">
        <v>6046.5581544656307</v>
      </c>
      <c r="U132" s="13">
        <v>3046.5581544656307</v>
      </c>
      <c r="V132" s="13">
        <v>46.558154465630651</v>
      </c>
      <c r="W132" s="13">
        <v>-2953.4418455343693</v>
      </c>
      <c r="X132" s="13">
        <v>-5953.4418455343693</v>
      </c>
    </row>
    <row r="133" spans="1:24" x14ac:dyDescent="0.35">
      <c r="A133" s="34">
        <v>106</v>
      </c>
      <c r="B133" s="2">
        <v>5.9397756101162713E-3</v>
      </c>
      <c r="C133" s="91">
        <f t="shared" si="8"/>
        <v>4.8429779884964717</v>
      </c>
      <c r="D133" s="13">
        <v>-21256.176092028269</v>
      </c>
      <c r="E133" s="13">
        <v>-24256.17609202821</v>
      </c>
      <c r="F133" s="13">
        <v>-27256.17609202821</v>
      </c>
      <c r="G133" s="13">
        <v>-30256.17609202821</v>
      </c>
      <c r="H133" s="13">
        <v>-33256.17609202821</v>
      </c>
      <c r="I133" s="13">
        <v>-36256.17609202821</v>
      </c>
      <c r="J133" s="13">
        <v>-39256.17609202821</v>
      </c>
      <c r="K133" s="13">
        <v>-42256.17609202821</v>
      </c>
      <c r="L133" s="13">
        <v>-45256.17609202821</v>
      </c>
      <c r="M133" s="13">
        <v>-48256.176092028152</v>
      </c>
      <c r="N133" s="13">
        <v>-51256.176092028152</v>
      </c>
      <c r="O133" s="13">
        <v>-54256.176092028152</v>
      </c>
      <c r="P133" s="13">
        <v>-57256.176092028152</v>
      </c>
      <c r="Q133" s="13">
        <v>-60256.176092028152</v>
      </c>
      <c r="R133" s="13">
        <v>-63256.176092028152</v>
      </c>
      <c r="S133" s="13">
        <v>-66256.176092028152</v>
      </c>
      <c r="T133" s="13">
        <v>-69256.176092028152</v>
      </c>
      <c r="U133" s="13">
        <v>-72256.176092028152</v>
      </c>
      <c r="V133" s="13">
        <v>-75256.176092028152</v>
      </c>
      <c r="W133" s="13">
        <v>-78256.176092028152</v>
      </c>
      <c r="X133" s="13">
        <v>-81256.176092028152</v>
      </c>
    </row>
    <row r="134" spans="1:24" x14ac:dyDescent="0.35">
      <c r="A134" s="34">
        <v>107</v>
      </c>
      <c r="B134" s="2">
        <v>0.7457255805476275</v>
      </c>
      <c r="C134" s="91">
        <f t="shared" si="8"/>
        <v>36.610989807464797</v>
      </c>
      <c r="D134" s="13">
        <v>149832.96942239441</v>
      </c>
      <c r="E134" s="13">
        <v>151832.96942239441</v>
      </c>
      <c r="F134" s="13">
        <v>153832.96942239441</v>
      </c>
      <c r="G134" s="13">
        <v>155832.96942239441</v>
      </c>
      <c r="H134" s="13">
        <v>157832.96942239441</v>
      </c>
      <c r="I134" s="13">
        <v>159832.96942239441</v>
      </c>
      <c r="J134" s="13">
        <v>161832.96942239441</v>
      </c>
      <c r="K134" s="13">
        <v>163832.96942239441</v>
      </c>
      <c r="L134" s="13">
        <v>165832.96942239441</v>
      </c>
      <c r="M134" s="13">
        <v>167832.96942239441</v>
      </c>
      <c r="N134" s="13">
        <v>169832.96942239441</v>
      </c>
      <c r="O134" s="13">
        <v>171832.96942239441</v>
      </c>
      <c r="P134" s="13">
        <v>173832.96942239441</v>
      </c>
      <c r="Q134" s="13">
        <v>175832.96942239441</v>
      </c>
      <c r="R134" s="13">
        <v>177832.96942239441</v>
      </c>
      <c r="S134" s="13">
        <v>179832.96942239441</v>
      </c>
      <c r="T134" s="13">
        <v>181832.96942239441</v>
      </c>
      <c r="U134" s="13">
        <v>181887.91845971835</v>
      </c>
      <c r="V134" s="13">
        <v>178887.91845971835</v>
      </c>
      <c r="W134" s="13">
        <v>175887.91845971835</v>
      </c>
      <c r="X134" s="13">
        <v>172887.91845971835</v>
      </c>
    </row>
    <row r="135" spans="1:24" x14ac:dyDescent="0.35">
      <c r="A135" s="34">
        <v>108</v>
      </c>
      <c r="B135" s="2">
        <v>6.2217083702284848E-2</v>
      </c>
      <c r="C135" s="91">
        <f t="shared" si="8"/>
        <v>14.635749519920477</v>
      </c>
      <c r="D135" s="13">
        <v>57085.996159363829</v>
      </c>
      <c r="E135" s="13">
        <v>54085.996159363829</v>
      </c>
      <c r="F135" s="13">
        <v>51085.996159363829</v>
      </c>
      <c r="G135" s="13">
        <v>48085.996159363829</v>
      </c>
      <c r="H135" s="13">
        <v>45085.996159363771</v>
      </c>
      <c r="I135" s="13">
        <v>42085.996159363771</v>
      </c>
      <c r="J135" s="13">
        <v>39085.996159363771</v>
      </c>
      <c r="K135" s="13">
        <v>36085.996159363771</v>
      </c>
      <c r="L135" s="13">
        <v>33085.996159363771</v>
      </c>
      <c r="M135" s="13">
        <v>30085.996159363771</v>
      </c>
      <c r="N135" s="13">
        <v>27085.996159363771</v>
      </c>
      <c r="O135" s="13">
        <v>24085.996159363771</v>
      </c>
      <c r="P135" s="13">
        <v>21085.996159363771</v>
      </c>
      <c r="Q135" s="13">
        <v>18085.996159363771</v>
      </c>
      <c r="R135" s="13">
        <v>15085.996159363771</v>
      </c>
      <c r="S135" s="13">
        <v>12085.996159363771</v>
      </c>
      <c r="T135" s="13">
        <v>9085.9961593637709</v>
      </c>
      <c r="U135" s="13">
        <v>6085.9961593637709</v>
      </c>
      <c r="V135" s="13">
        <v>3085.9961593637709</v>
      </c>
      <c r="W135" s="13">
        <v>85.996159363770857</v>
      </c>
      <c r="X135" s="13">
        <v>-2914.0038406362291</v>
      </c>
    </row>
    <row r="136" spans="1:24" x14ac:dyDescent="0.35">
      <c r="A136" s="34">
        <v>109</v>
      </c>
      <c r="B136" s="2">
        <v>0.1894699416728951</v>
      </c>
      <c r="C136" s="91">
        <f t="shared" si="8"/>
        <v>21.201487250585096</v>
      </c>
      <c r="D136" s="13">
        <v>103604.46175175527</v>
      </c>
      <c r="E136" s="13">
        <v>105604.46175175527</v>
      </c>
      <c r="F136" s="13">
        <v>103611.89800468076</v>
      </c>
      <c r="G136" s="13">
        <v>100611.89800468076</v>
      </c>
      <c r="H136" s="13">
        <v>97611.898004680756</v>
      </c>
      <c r="I136" s="13">
        <v>94611.898004680756</v>
      </c>
      <c r="J136" s="13">
        <v>91611.898004680756</v>
      </c>
      <c r="K136" s="13">
        <v>88611.898004680756</v>
      </c>
      <c r="L136" s="13">
        <v>85611.898004680756</v>
      </c>
      <c r="M136" s="13">
        <v>82611.898004680756</v>
      </c>
      <c r="N136" s="13">
        <v>79611.898004680756</v>
      </c>
      <c r="O136" s="13">
        <v>76611.898004680756</v>
      </c>
      <c r="P136" s="13">
        <v>73611.898004680756</v>
      </c>
      <c r="Q136" s="13">
        <v>70611.898004680756</v>
      </c>
      <c r="R136" s="13">
        <v>67611.898004680756</v>
      </c>
      <c r="S136" s="13">
        <v>64611.898004680756</v>
      </c>
      <c r="T136" s="13">
        <v>61611.898004680756</v>
      </c>
      <c r="U136" s="13">
        <v>58611.898004680756</v>
      </c>
      <c r="V136" s="13">
        <v>55611.898004680756</v>
      </c>
      <c r="W136" s="13">
        <v>52611.898004680756</v>
      </c>
      <c r="X136" s="13">
        <v>49611.898004680756</v>
      </c>
    </row>
    <row r="137" spans="1:24" x14ac:dyDescent="0.35">
      <c r="A137" s="34">
        <v>110</v>
      </c>
      <c r="B137" s="2">
        <v>0.76411633468308648</v>
      </c>
      <c r="C137" s="91">
        <f t="shared" si="8"/>
        <v>37.196064645787807</v>
      </c>
      <c r="D137" s="13">
        <v>151588.19393736345</v>
      </c>
      <c r="E137" s="13">
        <v>153588.19393736345</v>
      </c>
      <c r="F137" s="13">
        <v>155588.19393736345</v>
      </c>
      <c r="G137" s="13">
        <v>157588.19393736345</v>
      </c>
      <c r="H137" s="13">
        <v>159588.19393736345</v>
      </c>
      <c r="I137" s="13">
        <v>161588.19393736345</v>
      </c>
      <c r="J137" s="13">
        <v>163588.19393736345</v>
      </c>
      <c r="K137" s="13">
        <v>165588.19393736345</v>
      </c>
      <c r="L137" s="13">
        <v>167588.19393736345</v>
      </c>
      <c r="M137" s="13">
        <v>169588.19393736345</v>
      </c>
      <c r="N137" s="13">
        <v>171588.19393736345</v>
      </c>
      <c r="O137" s="13">
        <v>173588.19393736345</v>
      </c>
      <c r="P137" s="13">
        <v>175588.19393736345</v>
      </c>
      <c r="Q137" s="13">
        <v>177588.19393736345</v>
      </c>
      <c r="R137" s="13">
        <v>179588.19393736345</v>
      </c>
      <c r="S137" s="13">
        <v>181588.19393736345</v>
      </c>
      <c r="T137" s="13">
        <v>183588.19393736345</v>
      </c>
      <c r="U137" s="13">
        <v>185588.19393736345</v>
      </c>
      <c r="V137" s="13">
        <v>183568.51716630254</v>
      </c>
      <c r="W137" s="13">
        <v>180568.51716630254</v>
      </c>
      <c r="X137" s="13">
        <v>177568.51716630254</v>
      </c>
    </row>
    <row r="138" spans="1:24" x14ac:dyDescent="0.35">
      <c r="A138" s="34">
        <v>111</v>
      </c>
      <c r="B138" s="2">
        <v>0.76675971406642252</v>
      </c>
      <c r="C138" s="91">
        <f t="shared" si="8"/>
        <v>37.282173089434849</v>
      </c>
      <c r="D138" s="13">
        <v>151846.51926830458</v>
      </c>
      <c r="E138" s="13">
        <v>153846.51926830458</v>
      </c>
      <c r="F138" s="13">
        <v>155846.51926830458</v>
      </c>
      <c r="G138" s="13">
        <v>157846.51926830458</v>
      </c>
      <c r="H138" s="13">
        <v>159846.51926830458</v>
      </c>
      <c r="I138" s="13">
        <v>161846.51926830458</v>
      </c>
      <c r="J138" s="13">
        <v>163846.51926830458</v>
      </c>
      <c r="K138" s="13">
        <v>165846.51926830458</v>
      </c>
      <c r="L138" s="13">
        <v>167846.51926830458</v>
      </c>
      <c r="M138" s="13">
        <v>169846.51926830458</v>
      </c>
      <c r="N138" s="13">
        <v>171846.51926830458</v>
      </c>
      <c r="O138" s="13">
        <v>173846.51926830458</v>
      </c>
      <c r="P138" s="13">
        <v>175846.51926830458</v>
      </c>
      <c r="Q138" s="13">
        <v>177846.51926830458</v>
      </c>
      <c r="R138" s="13">
        <v>179846.51926830458</v>
      </c>
      <c r="S138" s="13">
        <v>181846.51926830458</v>
      </c>
      <c r="T138" s="13">
        <v>183846.51926830458</v>
      </c>
      <c r="U138" s="13">
        <v>185846.51926830458</v>
      </c>
      <c r="V138" s="13">
        <v>184257.38471547875</v>
      </c>
      <c r="W138" s="13">
        <v>181257.38471547875</v>
      </c>
      <c r="X138" s="13">
        <v>178257.38471547875</v>
      </c>
    </row>
    <row r="139" spans="1:24" x14ac:dyDescent="0.35">
      <c r="A139" s="34">
        <v>112</v>
      </c>
      <c r="B139" s="2">
        <v>7.2031370796976968E-2</v>
      </c>
      <c r="C139" s="91">
        <f t="shared" si="8"/>
        <v>15.391723349102442</v>
      </c>
      <c r="D139" s="13">
        <v>63133.786792819563</v>
      </c>
      <c r="E139" s="13">
        <v>60133.786792819563</v>
      </c>
      <c r="F139" s="13">
        <v>57133.786792819563</v>
      </c>
      <c r="G139" s="13">
        <v>54133.786792819563</v>
      </c>
      <c r="H139" s="13">
        <v>51133.786792819505</v>
      </c>
      <c r="I139" s="13">
        <v>48133.786792819505</v>
      </c>
      <c r="J139" s="13">
        <v>45133.786792819505</v>
      </c>
      <c r="K139" s="13">
        <v>42133.786792819505</v>
      </c>
      <c r="L139" s="13">
        <v>39133.786792819505</v>
      </c>
      <c r="M139" s="13">
        <v>36133.786792819505</v>
      </c>
      <c r="N139" s="13">
        <v>33133.786792819505</v>
      </c>
      <c r="O139" s="13">
        <v>30133.786792819621</v>
      </c>
      <c r="P139" s="13">
        <v>27133.786792819621</v>
      </c>
      <c r="Q139" s="13">
        <v>24133.786792819621</v>
      </c>
      <c r="R139" s="13">
        <v>21133.786792819621</v>
      </c>
      <c r="S139" s="13">
        <v>18133.786792819621</v>
      </c>
      <c r="T139" s="13">
        <v>15133.786792819621</v>
      </c>
      <c r="U139" s="13">
        <v>12133.786792819621</v>
      </c>
      <c r="V139" s="13">
        <v>9133.786792819621</v>
      </c>
      <c r="W139" s="13">
        <v>6133.786792819621</v>
      </c>
      <c r="X139" s="13">
        <v>3133.786792819621</v>
      </c>
    </row>
    <row r="140" spans="1:24" x14ac:dyDescent="0.35">
      <c r="A140" s="34">
        <v>113</v>
      </c>
      <c r="B140" s="2">
        <v>0.10164919437142517</v>
      </c>
      <c r="C140" s="91">
        <f t="shared" si="8"/>
        <v>17.277896430589362</v>
      </c>
      <c r="D140" s="13">
        <v>78223.171444714884</v>
      </c>
      <c r="E140" s="13">
        <v>75223.171444714884</v>
      </c>
      <c r="F140" s="13">
        <v>72223.171444714884</v>
      </c>
      <c r="G140" s="13">
        <v>69223.171444714884</v>
      </c>
      <c r="H140" s="13">
        <v>66223.171444714884</v>
      </c>
      <c r="I140" s="13">
        <v>63223.171444714884</v>
      </c>
      <c r="J140" s="13">
        <v>60223.171444714884</v>
      </c>
      <c r="K140" s="13">
        <v>57223.171444714884</v>
      </c>
      <c r="L140" s="13">
        <v>54223.171444714884</v>
      </c>
      <c r="M140" s="13">
        <v>51223.171444714884</v>
      </c>
      <c r="N140" s="13">
        <v>48223.171444714884</v>
      </c>
      <c r="O140" s="13">
        <v>45223.171444714884</v>
      </c>
      <c r="P140" s="13">
        <v>42223.171444714884</v>
      </c>
      <c r="Q140" s="13">
        <v>39223.171444714884</v>
      </c>
      <c r="R140" s="13">
        <v>36223.171444714884</v>
      </c>
      <c r="S140" s="13">
        <v>33223.171444714884</v>
      </c>
      <c r="T140" s="13">
        <v>30223.171444714884</v>
      </c>
      <c r="U140" s="13">
        <v>27223.171444714884</v>
      </c>
      <c r="V140" s="13">
        <v>24223.171444714884</v>
      </c>
      <c r="W140" s="13">
        <v>21223.171444714884</v>
      </c>
      <c r="X140" s="13">
        <v>18223.171444714884</v>
      </c>
    </row>
    <row r="141" spans="1:24" x14ac:dyDescent="0.35">
      <c r="A141" s="34">
        <v>114</v>
      </c>
      <c r="B141" s="2">
        <v>0.81307786552079941</v>
      </c>
      <c r="C141" s="91">
        <f t="shared" si="8"/>
        <v>38.892955378970235</v>
      </c>
      <c r="D141" s="13">
        <v>156678.86613691063</v>
      </c>
      <c r="E141" s="13">
        <v>158678.86613691063</v>
      </c>
      <c r="F141" s="13">
        <v>160678.86613691063</v>
      </c>
      <c r="G141" s="13">
        <v>162678.86613691063</v>
      </c>
      <c r="H141" s="13">
        <v>164678.86613691063</v>
      </c>
      <c r="I141" s="13">
        <v>166678.86613691063</v>
      </c>
      <c r="J141" s="13">
        <v>168678.86613691063</v>
      </c>
      <c r="K141" s="13">
        <v>170678.86613691063</v>
      </c>
      <c r="L141" s="13">
        <v>172678.86613691063</v>
      </c>
      <c r="M141" s="13">
        <v>174678.86613691063</v>
      </c>
      <c r="N141" s="13">
        <v>176678.86613691063</v>
      </c>
      <c r="O141" s="13">
        <v>178678.86613691063</v>
      </c>
      <c r="P141" s="13">
        <v>180678.86613691063</v>
      </c>
      <c r="Q141" s="13">
        <v>182678.86613691063</v>
      </c>
      <c r="R141" s="13">
        <v>184678.86613691063</v>
      </c>
      <c r="S141" s="13">
        <v>186678.86613691063</v>
      </c>
      <c r="T141" s="13">
        <v>188678.86613691063</v>
      </c>
      <c r="U141" s="13">
        <v>190678.86613691063</v>
      </c>
      <c r="V141" s="13">
        <v>192678.86613691063</v>
      </c>
      <c r="W141" s="13">
        <v>194143.64303176187</v>
      </c>
      <c r="X141" s="13">
        <v>191143.64303176187</v>
      </c>
    </row>
    <row r="142" spans="1:24" x14ac:dyDescent="0.35">
      <c r="A142" s="34">
        <v>115</v>
      </c>
      <c r="B142" s="2">
        <v>0.81807075128804718</v>
      </c>
      <c r="C142" s="91">
        <f t="shared" si="8"/>
        <v>39.080373333931369</v>
      </c>
      <c r="D142" s="13">
        <v>157241.12000179407</v>
      </c>
      <c r="E142" s="13">
        <v>159241.12000179407</v>
      </c>
      <c r="F142" s="13">
        <v>161241.12000179407</v>
      </c>
      <c r="G142" s="13">
        <v>163241.12000179407</v>
      </c>
      <c r="H142" s="13">
        <v>165241.12000179407</v>
      </c>
      <c r="I142" s="13">
        <v>167241.12000179407</v>
      </c>
      <c r="J142" s="13">
        <v>169241.12000179407</v>
      </c>
      <c r="K142" s="13">
        <v>171241.12000179407</v>
      </c>
      <c r="L142" s="13">
        <v>173241.12000179407</v>
      </c>
      <c r="M142" s="13">
        <v>175241.12000179407</v>
      </c>
      <c r="N142" s="13">
        <v>177241.12000179407</v>
      </c>
      <c r="O142" s="13">
        <v>179241.12000179407</v>
      </c>
      <c r="P142" s="13">
        <v>181241.12000179407</v>
      </c>
      <c r="Q142" s="13">
        <v>183241.12000179407</v>
      </c>
      <c r="R142" s="13">
        <v>185241.12000179407</v>
      </c>
      <c r="S142" s="13">
        <v>187241.12000179407</v>
      </c>
      <c r="T142" s="13">
        <v>189241.12000179407</v>
      </c>
      <c r="U142" s="13">
        <v>191241.12000179407</v>
      </c>
      <c r="V142" s="13">
        <v>193241.12000179407</v>
      </c>
      <c r="W142" s="13">
        <v>195241.12000179407</v>
      </c>
      <c r="X142" s="13">
        <v>192642.98667145101</v>
      </c>
    </row>
    <row r="143" spans="1:24" x14ac:dyDescent="0.35">
      <c r="A143" s="34">
        <v>116</v>
      </c>
      <c r="B143" s="2">
        <v>2.0028318732346784E-2</v>
      </c>
      <c r="C143" s="91">
        <f t="shared" si="8"/>
        <v>9.4683561702310968</v>
      </c>
      <c r="D143" s="13">
        <v>15746.849361848785</v>
      </c>
      <c r="E143" s="13">
        <v>12746.849361848785</v>
      </c>
      <c r="F143" s="13">
        <v>9746.8493618487846</v>
      </c>
      <c r="G143" s="13">
        <v>6746.8493618487846</v>
      </c>
      <c r="H143" s="13">
        <v>3746.8493618487846</v>
      </c>
      <c r="I143" s="13">
        <v>746.84936184878461</v>
      </c>
      <c r="J143" s="13">
        <v>-2253.1506381512154</v>
      </c>
      <c r="K143" s="13">
        <v>-5253.1506381512154</v>
      </c>
      <c r="L143" s="13">
        <v>-8253.1506381512154</v>
      </c>
      <c r="M143" s="13">
        <v>-11253.150638151215</v>
      </c>
      <c r="N143" s="13">
        <v>-14253.150638151215</v>
      </c>
      <c r="O143" s="13">
        <v>-17253.150638151215</v>
      </c>
      <c r="P143" s="13">
        <v>-20253.150638151215</v>
      </c>
      <c r="Q143" s="13">
        <v>-23253.150638151215</v>
      </c>
      <c r="R143" s="13">
        <v>-26253.150638151215</v>
      </c>
      <c r="S143" s="13">
        <v>-29253.150638151215</v>
      </c>
      <c r="T143" s="13">
        <v>-32253.150638151215</v>
      </c>
      <c r="U143" s="13">
        <v>-35253.150638151215</v>
      </c>
      <c r="V143" s="13">
        <v>-38253.150638151215</v>
      </c>
      <c r="W143" s="13">
        <v>-41253.150638151215</v>
      </c>
      <c r="X143" s="13">
        <v>-44253.150638151215</v>
      </c>
    </row>
    <row r="144" spans="1:24" x14ac:dyDescent="0.35">
      <c r="A144" s="34">
        <v>117</v>
      </c>
      <c r="B144" s="2">
        <v>0.66525836157704143</v>
      </c>
      <c r="C144" s="91">
        <f t="shared" si="8"/>
        <v>34.268572881951606</v>
      </c>
      <c r="D144" s="13">
        <v>142805.71864585485</v>
      </c>
      <c r="E144" s="13">
        <v>144805.71864585485</v>
      </c>
      <c r="F144" s="13">
        <v>146805.71864585485</v>
      </c>
      <c r="G144" s="13">
        <v>148805.71864585485</v>
      </c>
      <c r="H144" s="13">
        <v>150805.71864585485</v>
      </c>
      <c r="I144" s="13">
        <v>152805.71864585485</v>
      </c>
      <c r="J144" s="13">
        <v>154805.71864585485</v>
      </c>
      <c r="K144" s="13">
        <v>156805.71864585485</v>
      </c>
      <c r="L144" s="13">
        <v>158805.71864585485</v>
      </c>
      <c r="M144" s="13">
        <v>160805.71864585485</v>
      </c>
      <c r="N144" s="13">
        <v>162805.71864585485</v>
      </c>
      <c r="O144" s="13">
        <v>164805.71864585485</v>
      </c>
      <c r="P144" s="13">
        <v>166805.71864585485</v>
      </c>
      <c r="Q144" s="13">
        <v>168805.71864585485</v>
      </c>
      <c r="R144" s="13">
        <v>170805.71864585485</v>
      </c>
      <c r="S144" s="13">
        <v>169148.58305561286</v>
      </c>
      <c r="T144" s="13">
        <v>166148.58305561286</v>
      </c>
      <c r="U144" s="13">
        <v>163148.58305561286</v>
      </c>
      <c r="V144" s="13">
        <v>160148.58305561286</v>
      </c>
      <c r="W144" s="13">
        <v>157148.58305561286</v>
      </c>
      <c r="X144" s="13">
        <v>154148.58305561286</v>
      </c>
    </row>
    <row r="145" spans="1:24" x14ac:dyDescent="0.35">
      <c r="A145" s="34">
        <v>118</v>
      </c>
      <c r="B145" s="2">
        <v>0.13058243701939976</v>
      </c>
      <c r="C145" s="91">
        <f t="shared" si="8"/>
        <v>18.763578660963674</v>
      </c>
      <c r="D145" s="13">
        <v>90108.629287709366</v>
      </c>
      <c r="E145" s="13">
        <v>87108.629287709366</v>
      </c>
      <c r="F145" s="13">
        <v>84108.629287709366</v>
      </c>
      <c r="G145" s="13">
        <v>81108.629287709366</v>
      </c>
      <c r="H145" s="13">
        <v>78108.629287709366</v>
      </c>
      <c r="I145" s="13">
        <v>75108.629287709366</v>
      </c>
      <c r="J145" s="13">
        <v>72108.629287709366</v>
      </c>
      <c r="K145" s="13">
        <v>69108.629287709366</v>
      </c>
      <c r="L145" s="13">
        <v>66108.629287709366</v>
      </c>
      <c r="M145" s="13">
        <v>63108.629287709366</v>
      </c>
      <c r="N145" s="13">
        <v>60108.629287709366</v>
      </c>
      <c r="O145" s="13">
        <v>57108.629287709366</v>
      </c>
      <c r="P145" s="13">
        <v>54108.629287709366</v>
      </c>
      <c r="Q145" s="13">
        <v>51108.629287709366</v>
      </c>
      <c r="R145" s="13">
        <v>48108.629287709366</v>
      </c>
      <c r="S145" s="13">
        <v>45108.629287709366</v>
      </c>
      <c r="T145" s="13">
        <v>42108.629287709366</v>
      </c>
      <c r="U145" s="13">
        <v>39108.629287709366</v>
      </c>
      <c r="V145" s="13">
        <v>36108.629287709366</v>
      </c>
      <c r="W145" s="13">
        <v>33108.629287709366</v>
      </c>
      <c r="X145" s="13">
        <v>30108.629287709366</v>
      </c>
    </row>
    <row r="146" spans="1:24" x14ac:dyDescent="0.35">
      <c r="A146" s="34">
        <v>119</v>
      </c>
      <c r="B146" s="2">
        <v>0.2807197766034093</v>
      </c>
      <c r="C146" s="91">
        <f t="shared" si="8"/>
        <v>24.192953885330827</v>
      </c>
      <c r="D146" s="13">
        <v>112578.86165599251</v>
      </c>
      <c r="E146" s="13">
        <v>114578.86165599251</v>
      </c>
      <c r="F146" s="13">
        <v>116578.86165599251</v>
      </c>
      <c r="G146" s="13">
        <v>118578.86165599251</v>
      </c>
      <c r="H146" s="13">
        <v>120578.86165599251</v>
      </c>
      <c r="I146" s="13">
        <v>118543.63108264667</v>
      </c>
      <c r="J146" s="13">
        <v>115543.63108264667</v>
      </c>
      <c r="K146" s="13">
        <v>112543.63108264667</v>
      </c>
      <c r="L146" s="13">
        <v>109543.63108264667</v>
      </c>
      <c r="M146" s="13">
        <v>106543.63108264667</v>
      </c>
      <c r="N146" s="13">
        <v>103543.63108264667</v>
      </c>
      <c r="O146" s="13">
        <v>100543.63108264667</v>
      </c>
      <c r="P146" s="13">
        <v>97543.631082646665</v>
      </c>
      <c r="Q146" s="13">
        <v>94543.631082646665</v>
      </c>
      <c r="R146" s="13">
        <v>91543.631082646665</v>
      </c>
      <c r="S146" s="13">
        <v>88543.631082646665</v>
      </c>
      <c r="T146" s="13">
        <v>85543.631082646665</v>
      </c>
      <c r="U146" s="13">
        <v>82543.631082646665</v>
      </c>
      <c r="V146" s="13">
        <v>79543.631082646665</v>
      </c>
      <c r="W146" s="13">
        <v>76543.631082646665</v>
      </c>
      <c r="X146" s="13">
        <v>73543.631082646665</v>
      </c>
    </row>
    <row r="147" spans="1:24" x14ac:dyDescent="0.35">
      <c r="A147" s="34">
        <v>120</v>
      </c>
      <c r="B147" s="2">
        <v>0.12317870815002052</v>
      </c>
      <c r="C147" s="91">
        <f t="shared" si="8"/>
        <v>18.407576571376552</v>
      </c>
      <c r="D147" s="13">
        <v>87260.612571012403</v>
      </c>
      <c r="E147" s="13">
        <v>84260.612571012403</v>
      </c>
      <c r="F147" s="13">
        <v>81260.612571012403</v>
      </c>
      <c r="G147" s="13">
        <v>78260.612571012462</v>
      </c>
      <c r="H147" s="13">
        <v>75260.612571012462</v>
      </c>
      <c r="I147" s="13">
        <v>72260.612571012462</v>
      </c>
      <c r="J147" s="13">
        <v>69260.612571012462</v>
      </c>
      <c r="K147" s="13">
        <v>66260.612571012462</v>
      </c>
      <c r="L147" s="13">
        <v>63260.612571012462</v>
      </c>
      <c r="M147" s="13">
        <v>60260.612571012462</v>
      </c>
      <c r="N147" s="13">
        <v>57260.612571012462</v>
      </c>
      <c r="O147" s="13">
        <v>54260.612571012462</v>
      </c>
      <c r="P147" s="13">
        <v>51260.612571012462</v>
      </c>
      <c r="Q147" s="13">
        <v>48260.612571012462</v>
      </c>
      <c r="R147" s="13">
        <v>45260.612571012462</v>
      </c>
      <c r="S147" s="13">
        <v>42260.612571012462</v>
      </c>
      <c r="T147" s="13">
        <v>39260.612571012462</v>
      </c>
      <c r="U147" s="13">
        <v>36260.612571012462</v>
      </c>
      <c r="V147" s="13">
        <v>33260.612571012462</v>
      </c>
      <c r="W147" s="13">
        <v>30260.612571012462</v>
      </c>
      <c r="X147" s="13">
        <v>27260.612571012462</v>
      </c>
    </row>
    <row r="148" spans="1:24" x14ac:dyDescent="0.35">
      <c r="A148" s="34">
        <v>121</v>
      </c>
      <c r="B148" s="2">
        <v>0.93239440489154124</v>
      </c>
      <c r="C148" s="91">
        <f t="shared" si="8"/>
        <v>44.938639208470562</v>
      </c>
      <c r="D148" s="13">
        <v>174815.91762541176</v>
      </c>
      <c r="E148" s="13">
        <v>176815.91762541176</v>
      </c>
      <c r="F148" s="13">
        <v>178815.91762541176</v>
      </c>
      <c r="G148" s="13">
        <v>180815.91762541176</v>
      </c>
      <c r="H148" s="13">
        <v>182815.91762541176</v>
      </c>
      <c r="I148" s="13">
        <v>184815.91762541176</v>
      </c>
      <c r="J148" s="13">
        <v>186815.91762541176</v>
      </c>
      <c r="K148" s="13">
        <v>188815.91762541176</v>
      </c>
      <c r="L148" s="13">
        <v>190815.91762541176</v>
      </c>
      <c r="M148" s="13">
        <v>192815.91762541176</v>
      </c>
      <c r="N148" s="13">
        <v>194815.91762541176</v>
      </c>
      <c r="O148" s="13">
        <v>196815.91762541176</v>
      </c>
      <c r="P148" s="13">
        <v>198815.91762541176</v>
      </c>
      <c r="Q148" s="13">
        <v>200815.91762541176</v>
      </c>
      <c r="R148" s="13">
        <v>202815.91762541176</v>
      </c>
      <c r="S148" s="13">
        <v>204815.91762541176</v>
      </c>
      <c r="T148" s="13">
        <v>206815.91762541176</v>
      </c>
      <c r="U148" s="13">
        <v>208815.91762541176</v>
      </c>
      <c r="V148" s="13">
        <v>210815.91762541176</v>
      </c>
      <c r="W148" s="13">
        <v>212815.91762541176</v>
      </c>
      <c r="X148" s="13">
        <v>214815.91762541176</v>
      </c>
    </row>
    <row r="149" spans="1:24" x14ac:dyDescent="0.35">
      <c r="A149" s="34">
        <v>122</v>
      </c>
      <c r="B149" s="2">
        <v>0.50474612078876813</v>
      </c>
      <c r="C149" s="91">
        <f t="shared" si="8"/>
        <v>30.118970412083701</v>
      </c>
      <c r="D149" s="13">
        <v>130356.91123625112</v>
      </c>
      <c r="E149" s="13">
        <v>132356.91123625112</v>
      </c>
      <c r="F149" s="13">
        <v>134356.91123625112</v>
      </c>
      <c r="G149" s="13">
        <v>136356.91123625112</v>
      </c>
      <c r="H149" s="13">
        <v>138356.91123625112</v>
      </c>
      <c r="I149" s="13">
        <v>140356.91123625112</v>
      </c>
      <c r="J149" s="13">
        <v>142356.91123625112</v>
      </c>
      <c r="K149" s="13">
        <v>144356.91123625112</v>
      </c>
      <c r="L149" s="13">
        <v>146356.91123625112</v>
      </c>
      <c r="M149" s="13">
        <v>148356.91123625112</v>
      </c>
      <c r="N149" s="13">
        <v>150356.91123625112</v>
      </c>
      <c r="O149" s="13">
        <v>147951.76329666958</v>
      </c>
      <c r="P149" s="13">
        <v>144951.76329666958</v>
      </c>
      <c r="Q149" s="13">
        <v>141951.76329666958</v>
      </c>
      <c r="R149" s="13">
        <v>138951.76329666958</v>
      </c>
      <c r="S149" s="13">
        <v>135951.76329666958</v>
      </c>
      <c r="T149" s="13">
        <v>132951.76329666958</v>
      </c>
      <c r="U149" s="13">
        <v>129951.76329666958</v>
      </c>
      <c r="V149" s="13">
        <v>126951.76329666958</v>
      </c>
      <c r="W149" s="13">
        <v>123951.76329666958</v>
      </c>
      <c r="X149" s="13">
        <v>120951.76329666958</v>
      </c>
    </row>
    <row r="150" spans="1:24" x14ac:dyDescent="0.35">
      <c r="A150" s="34">
        <v>123</v>
      </c>
      <c r="B150" s="2">
        <v>3.4635684019970636E-2</v>
      </c>
      <c r="C150" s="91">
        <f t="shared" si="8"/>
        <v>11.833542148216768</v>
      </c>
      <c r="D150" s="13">
        <v>34668.337185734126</v>
      </c>
      <c r="E150" s="13">
        <v>31668.337185734126</v>
      </c>
      <c r="F150" s="13">
        <v>28668.337185734126</v>
      </c>
      <c r="G150" s="13">
        <v>25668.337185734126</v>
      </c>
      <c r="H150" s="13">
        <v>22668.337185734126</v>
      </c>
      <c r="I150" s="13">
        <v>19668.337185734126</v>
      </c>
      <c r="J150" s="13">
        <v>16668.337185734184</v>
      </c>
      <c r="K150" s="13">
        <v>13668.337185734184</v>
      </c>
      <c r="L150" s="13">
        <v>10668.337185734184</v>
      </c>
      <c r="M150" s="13">
        <v>7668.3371857341845</v>
      </c>
      <c r="N150" s="13">
        <v>4668.3371857341845</v>
      </c>
      <c r="O150" s="13">
        <v>1668.3371857341845</v>
      </c>
      <c r="P150" s="13">
        <v>-1331.6628142658155</v>
      </c>
      <c r="Q150" s="13">
        <v>-4331.6628142658155</v>
      </c>
      <c r="R150" s="13">
        <v>-7331.6628142658155</v>
      </c>
      <c r="S150" s="13">
        <v>-10331.662814265816</v>
      </c>
      <c r="T150" s="13">
        <v>-13331.662814265816</v>
      </c>
      <c r="U150" s="13">
        <v>-16331.662814265816</v>
      </c>
      <c r="V150" s="13">
        <v>-19331.662814265816</v>
      </c>
      <c r="W150" s="13">
        <v>-22331.662814265816</v>
      </c>
      <c r="X150" s="13">
        <v>-25331.662814265816</v>
      </c>
    </row>
    <row r="151" spans="1:24" x14ac:dyDescent="0.35">
      <c r="A151" s="34">
        <v>124</v>
      </c>
      <c r="B151" s="2">
        <v>5.7120044959364291E-2</v>
      </c>
      <c r="C151" s="91">
        <f t="shared" si="8"/>
        <v>14.20581470218182</v>
      </c>
      <c r="D151" s="13">
        <v>53646.517617454578</v>
      </c>
      <c r="E151" s="13">
        <v>50646.517617454578</v>
      </c>
      <c r="F151" s="13">
        <v>47646.517617454578</v>
      </c>
      <c r="G151" s="13">
        <v>44646.517617454578</v>
      </c>
      <c r="H151" s="13">
        <v>41646.517617454578</v>
      </c>
      <c r="I151" s="13">
        <v>38646.517617454519</v>
      </c>
      <c r="J151" s="13">
        <v>35646.517617454519</v>
      </c>
      <c r="K151" s="13">
        <v>32646.517617454519</v>
      </c>
      <c r="L151" s="13">
        <v>29646.517617454519</v>
      </c>
      <c r="M151" s="13">
        <v>26646.517617454519</v>
      </c>
      <c r="N151" s="13">
        <v>23646.517617454519</v>
      </c>
      <c r="O151" s="13">
        <v>20646.517617454519</v>
      </c>
      <c r="P151" s="13">
        <v>17646.517617454519</v>
      </c>
      <c r="Q151" s="13">
        <v>14646.517617454519</v>
      </c>
      <c r="R151" s="13">
        <v>11646.517617454519</v>
      </c>
      <c r="S151" s="13">
        <v>8646.5176174545195</v>
      </c>
      <c r="T151" s="13">
        <v>5646.5176174545195</v>
      </c>
      <c r="U151" s="13">
        <v>2646.5176174545195</v>
      </c>
      <c r="V151" s="13">
        <v>-353.4823825454805</v>
      </c>
      <c r="W151" s="13">
        <v>-3353.4823825454805</v>
      </c>
      <c r="X151" s="13">
        <v>-6353.4823825454805</v>
      </c>
    </row>
    <row r="152" spans="1:24" x14ac:dyDescent="0.35">
      <c r="A152" s="34">
        <v>125</v>
      </c>
      <c r="B152" s="2">
        <v>0.21474924579158716</v>
      </c>
      <c r="C152" s="91">
        <f t="shared" si="8"/>
        <v>22.099498682450225</v>
      </c>
      <c r="D152" s="13">
        <v>106298.49604735064</v>
      </c>
      <c r="E152" s="13">
        <v>108298.49604735064</v>
      </c>
      <c r="F152" s="13">
        <v>110298.49604735064</v>
      </c>
      <c r="G152" s="13">
        <v>107795.98945960181</v>
      </c>
      <c r="H152" s="13">
        <v>104795.98945960181</v>
      </c>
      <c r="I152" s="13">
        <v>101795.98945960181</v>
      </c>
      <c r="J152" s="13">
        <v>98795.989459601813</v>
      </c>
      <c r="K152" s="13">
        <v>95795.989459601813</v>
      </c>
      <c r="L152" s="13">
        <v>92795.989459601813</v>
      </c>
      <c r="M152" s="13">
        <v>89795.989459601813</v>
      </c>
      <c r="N152" s="13">
        <v>86795.989459601813</v>
      </c>
      <c r="O152" s="13">
        <v>83795.989459601813</v>
      </c>
      <c r="P152" s="13">
        <v>80795.989459601813</v>
      </c>
      <c r="Q152" s="13">
        <v>77795.989459601813</v>
      </c>
      <c r="R152" s="13">
        <v>74795.989459601813</v>
      </c>
      <c r="S152" s="13">
        <v>71795.989459601813</v>
      </c>
      <c r="T152" s="13">
        <v>68795.989459601813</v>
      </c>
      <c r="U152" s="13">
        <v>65795.989459601813</v>
      </c>
      <c r="V152" s="13">
        <v>62795.989459601697</v>
      </c>
      <c r="W152" s="13">
        <v>59795.989459601697</v>
      </c>
      <c r="X152" s="13">
        <v>56795.989459601697</v>
      </c>
    </row>
    <row r="153" spans="1:24" x14ac:dyDescent="0.35">
      <c r="A153" s="34">
        <v>126</v>
      </c>
      <c r="B153" s="2">
        <v>0.1136171322450118</v>
      </c>
      <c r="C153" s="91">
        <f t="shared" si="8"/>
        <v>17.924860200599824</v>
      </c>
      <c r="D153" s="13">
        <v>83398.881604798604</v>
      </c>
      <c r="E153" s="13">
        <v>80398.881604798604</v>
      </c>
      <c r="F153" s="13">
        <v>77398.881604798604</v>
      </c>
      <c r="G153" s="13">
        <v>74398.881604798604</v>
      </c>
      <c r="H153" s="13">
        <v>71398.881604798604</v>
      </c>
      <c r="I153" s="13">
        <v>68398.881604798604</v>
      </c>
      <c r="J153" s="13">
        <v>65398.881604798604</v>
      </c>
      <c r="K153" s="13">
        <v>62398.881604798604</v>
      </c>
      <c r="L153" s="13">
        <v>59398.881604798604</v>
      </c>
      <c r="M153" s="13">
        <v>56398.881604798604</v>
      </c>
      <c r="N153" s="13">
        <v>53398.881604798604</v>
      </c>
      <c r="O153" s="13">
        <v>50398.881604798604</v>
      </c>
      <c r="P153" s="13">
        <v>47398.881604798604</v>
      </c>
      <c r="Q153" s="13">
        <v>44398.881604798604</v>
      </c>
      <c r="R153" s="13">
        <v>41398.881604798604</v>
      </c>
      <c r="S153" s="13">
        <v>38398.881604798604</v>
      </c>
      <c r="T153" s="13">
        <v>35398.881604798604</v>
      </c>
      <c r="U153" s="13">
        <v>32398.881604798604</v>
      </c>
      <c r="V153" s="13">
        <v>29398.881604798604</v>
      </c>
      <c r="W153" s="13">
        <v>26398.881604798604</v>
      </c>
      <c r="X153" s="13">
        <v>23398.881604798604</v>
      </c>
    </row>
    <row r="154" spans="1:24" x14ac:dyDescent="0.35">
      <c r="A154" s="34">
        <v>127</v>
      </c>
      <c r="B154" s="2">
        <v>0.35045598274834766</v>
      </c>
      <c r="C154" s="91">
        <f t="shared" si="8"/>
        <v>26.159103002631031</v>
      </c>
      <c r="D154" s="13">
        <v>118477.30900789308</v>
      </c>
      <c r="E154" s="13">
        <v>120477.30900789308</v>
      </c>
      <c r="F154" s="13">
        <v>122477.30900789308</v>
      </c>
      <c r="G154" s="13">
        <v>124477.30900789308</v>
      </c>
      <c r="H154" s="13">
        <v>126477.30900789308</v>
      </c>
      <c r="I154" s="13">
        <v>128477.30900789308</v>
      </c>
      <c r="J154" s="13">
        <v>130477.30900789308</v>
      </c>
      <c r="K154" s="13">
        <v>128272.82402104826</v>
      </c>
      <c r="L154" s="13">
        <v>125272.82402104826</v>
      </c>
      <c r="M154" s="13">
        <v>122272.82402104826</v>
      </c>
      <c r="N154" s="13">
        <v>119272.82402104826</v>
      </c>
      <c r="O154" s="13">
        <v>116272.82402104826</v>
      </c>
      <c r="P154" s="13">
        <v>113272.82402104826</v>
      </c>
      <c r="Q154" s="13">
        <v>110272.82402104826</v>
      </c>
      <c r="R154" s="13">
        <v>107272.82402104826</v>
      </c>
      <c r="S154" s="13">
        <v>104272.82402104826</v>
      </c>
      <c r="T154" s="13">
        <v>101272.82402104826</v>
      </c>
      <c r="U154" s="13">
        <v>98272.824021048262</v>
      </c>
      <c r="V154" s="13">
        <v>95272.824021048262</v>
      </c>
      <c r="W154" s="13">
        <v>92272.824021048262</v>
      </c>
      <c r="X154" s="13">
        <v>89272.824021048262</v>
      </c>
    </row>
    <row r="155" spans="1:24" x14ac:dyDescent="0.35">
      <c r="A155" s="34">
        <v>128</v>
      </c>
      <c r="B155" s="2">
        <v>0.27123922021764046</v>
      </c>
      <c r="C155" s="91">
        <f t="shared" si="8"/>
        <v>23.909306017978544</v>
      </c>
      <c r="D155" s="13">
        <v>111727.91805393563</v>
      </c>
      <c r="E155" s="13">
        <v>113727.91805393569</v>
      </c>
      <c r="F155" s="13">
        <v>115727.91805393569</v>
      </c>
      <c r="G155" s="13">
        <v>117727.91805393569</v>
      </c>
      <c r="H155" s="13">
        <v>119274.44814382843</v>
      </c>
      <c r="I155" s="13">
        <v>116274.44814382843</v>
      </c>
      <c r="J155" s="13">
        <v>113274.44814382843</v>
      </c>
      <c r="K155" s="13">
        <v>110274.44814382843</v>
      </c>
      <c r="L155" s="13">
        <v>107274.44814382843</v>
      </c>
      <c r="M155" s="13">
        <v>104274.44814382843</v>
      </c>
      <c r="N155" s="13">
        <v>101274.44814382843</v>
      </c>
      <c r="O155" s="13">
        <v>98274.448143828427</v>
      </c>
      <c r="P155" s="13">
        <v>95274.448143828427</v>
      </c>
      <c r="Q155" s="13">
        <v>92274.448143828427</v>
      </c>
      <c r="R155" s="13">
        <v>89274.448143828427</v>
      </c>
      <c r="S155" s="13">
        <v>86274.448143828427</v>
      </c>
      <c r="T155" s="13">
        <v>83274.448143828427</v>
      </c>
      <c r="U155" s="13">
        <v>80274.448143828427</v>
      </c>
      <c r="V155" s="13">
        <v>77274.448143828427</v>
      </c>
      <c r="W155" s="13">
        <v>74274.448143828427</v>
      </c>
      <c r="X155" s="13">
        <v>71274.448143828427</v>
      </c>
    </row>
    <row r="156" spans="1:24" x14ac:dyDescent="0.35">
      <c r="A156" s="34">
        <v>129</v>
      </c>
      <c r="B156" s="2">
        <v>0.24012374087943678</v>
      </c>
      <c r="C156" s="91">
        <f t="shared" si="8"/>
        <v>22.940954241669196</v>
      </c>
      <c r="D156" s="13">
        <v>108822.86272500758</v>
      </c>
      <c r="E156" s="13">
        <v>110822.86272500758</v>
      </c>
      <c r="F156" s="13">
        <v>112822.86272500758</v>
      </c>
      <c r="G156" s="13">
        <v>114527.63393335359</v>
      </c>
      <c r="H156" s="13">
        <v>111527.63393335359</v>
      </c>
      <c r="I156" s="13">
        <v>108527.63393335359</v>
      </c>
      <c r="J156" s="13">
        <v>105527.63393335359</v>
      </c>
      <c r="K156" s="13">
        <v>102527.63393335359</v>
      </c>
      <c r="L156" s="13">
        <v>99527.633933353587</v>
      </c>
      <c r="M156" s="13">
        <v>96527.633933353587</v>
      </c>
      <c r="N156" s="13">
        <v>93527.633933353587</v>
      </c>
      <c r="O156" s="13">
        <v>90527.633933353587</v>
      </c>
      <c r="P156" s="13">
        <v>87527.633933353587</v>
      </c>
      <c r="Q156" s="13">
        <v>84527.633933353587</v>
      </c>
      <c r="R156" s="13">
        <v>81527.633933353587</v>
      </c>
      <c r="S156" s="13">
        <v>78527.633933353587</v>
      </c>
      <c r="T156" s="13">
        <v>75527.633933353587</v>
      </c>
      <c r="U156" s="13">
        <v>72527.633933353587</v>
      </c>
      <c r="V156" s="13">
        <v>69527.633933353587</v>
      </c>
      <c r="W156" s="13">
        <v>66527.633933353587</v>
      </c>
      <c r="X156" s="13">
        <v>63527.633933353587</v>
      </c>
    </row>
    <row r="157" spans="1:24" x14ac:dyDescent="0.35">
      <c r="A157" s="34">
        <v>130</v>
      </c>
      <c r="B157" s="2">
        <v>0.4253031643364541</v>
      </c>
      <c r="C157" s="91">
        <f t="shared" ref="C157:C220" si="9">_xlfn.NORM.INV(B157,$F$6,$F$8)</f>
        <v>28.116551493219127</v>
      </c>
      <c r="D157" s="13">
        <v>124349.65447965742</v>
      </c>
      <c r="E157" s="13">
        <v>126349.65447965742</v>
      </c>
      <c r="F157" s="13">
        <v>128349.65447965742</v>
      </c>
      <c r="G157" s="13">
        <v>130349.65447965742</v>
      </c>
      <c r="H157" s="13">
        <v>132349.65447965742</v>
      </c>
      <c r="I157" s="13">
        <v>134349.65447965742</v>
      </c>
      <c r="J157" s="13">
        <v>136349.65447965742</v>
      </c>
      <c r="K157" s="13">
        <v>138349.65447965742</v>
      </c>
      <c r="L157" s="13">
        <v>140349.65447965742</v>
      </c>
      <c r="M157" s="13">
        <v>137932.41194575303</v>
      </c>
      <c r="N157" s="13">
        <v>134932.41194575303</v>
      </c>
      <c r="O157" s="13">
        <v>131932.41194575303</v>
      </c>
      <c r="P157" s="13">
        <v>128932.41194575303</v>
      </c>
      <c r="Q157" s="13">
        <v>125932.41194575303</v>
      </c>
      <c r="R157" s="13">
        <v>122932.41194575303</v>
      </c>
      <c r="S157" s="13">
        <v>119932.41194575303</v>
      </c>
      <c r="T157" s="13">
        <v>116932.41194575303</v>
      </c>
      <c r="U157" s="13">
        <v>113932.41194575303</v>
      </c>
      <c r="V157" s="13">
        <v>110932.41194575303</v>
      </c>
      <c r="W157" s="13">
        <v>107932.41194575303</v>
      </c>
      <c r="X157" s="13">
        <v>104932.41194575303</v>
      </c>
    </row>
    <row r="158" spans="1:24" x14ac:dyDescent="0.35">
      <c r="A158" s="34">
        <v>131</v>
      </c>
      <c r="B158" s="2">
        <v>0.69104352409338232</v>
      </c>
      <c r="C158" s="91">
        <f t="shared" si="9"/>
        <v>34.988104119625774</v>
      </c>
      <c r="D158" s="13">
        <v>144964.31235887727</v>
      </c>
      <c r="E158" s="13">
        <v>146964.31235887727</v>
      </c>
      <c r="F158" s="13">
        <v>148964.31235887727</v>
      </c>
      <c r="G158" s="13">
        <v>150964.31235887727</v>
      </c>
      <c r="H158" s="13">
        <v>152964.31235887727</v>
      </c>
      <c r="I158" s="13">
        <v>154964.31235887727</v>
      </c>
      <c r="J158" s="13">
        <v>156964.31235887727</v>
      </c>
      <c r="K158" s="13">
        <v>158964.31235887727</v>
      </c>
      <c r="L158" s="13">
        <v>160964.31235887727</v>
      </c>
      <c r="M158" s="13">
        <v>162964.31235887727</v>
      </c>
      <c r="N158" s="13">
        <v>164964.31235887739</v>
      </c>
      <c r="O158" s="13">
        <v>166964.31235887739</v>
      </c>
      <c r="P158" s="13">
        <v>168964.31235887739</v>
      </c>
      <c r="Q158" s="13">
        <v>170964.31235887739</v>
      </c>
      <c r="R158" s="13">
        <v>172964.31235887739</v>
      </c>
      <c r="S158" s="13">
        <v>174904.83295700629</v>
      </c>
      <c r="T158" s="13">
        <v>171904.83295700629</v>
      </c>
      <c r="U158" s="13">
        <v>168904.83295700629</v>
      </c>
      <c r="V158" s="13">
        <v>165904.83295700629</v>
      </c>
      <c r="W158" s="13">
        <v>162904.83295700629</v>
      </c>
      <c r="X158" s="13">
        <v>159904.83295700629</v>
      </c>
    </row>
    <row r="159" spans="1:24" x14ac:dyDescent="0.35">
      <c r="A159" s="34">
        <v>132</v>
      </c>
      <c r="B159" s="2">
        <v>0.66332450494784867</v>
      </c>
      <c r="C159" s="91">
        <f t="shared" si="9"/>
        <v>34.215534494263153</v>
      </c>
      <c r="D159" s="13">
        <v>142646.60348278948</v>
      </c>
      <c r="E159" s="13">
        <v>144646.60348278948</v>
      </c>
      <c r="F159" s="13">
        <v>146646.60348278948</v>
      </c>
      <c r="G159" s="13">
        <v>148646.60348278948</v>
      </c>
      <c r="H159" s="13">
        <v>150646.60348278948</v>
      </c>
      <c r="I159" s="13">
        <v>152646.60348278948</v>
      </c>
      <c r="J159" s="13">
        <v>154646.60348278948</v>
      </c>
      <c r="K159" s="13">
        <v>156646.60348278948</v>
      </c>
      <c r="L159" s="13">
        <v>158646.60348278948</v>
      </c>
      <c r="M159" s="13">
        <v>160646.60348278948</v>
      </c>
      <c r="N159" s="13">
        <v>162646.60348278948</v>
      </c>
      <c r="O159" s="13">
        <v>164646.60348278948</v>
      </c>
      <c r="P159" s="13">
        <v>166646.60348278948</v>
      </c>
      <c r="Q159" s="13">
        <v>168646.60348278948</v>
      </c>
      <c r="R159" s="13">
        <v>170646.60348278948</v>
      </c>
      <c r="S159" s="13">
        <v>168724.27595410519</v>
      </c>
      <c r="T159" s="13">
        <v>165724.27595410519</v>
      </c>
      <c r="U159" s="13">
        <v>162724.27595410519</v>
      </c>
      <c r="V159" s="13">
        <v>159724.27595410519</v>
      </c>
      <c r="W159" s="13">
        <v>156724.27595410519</v>
      </c>
      <c r="X159" s="13">
        <v>153724.27595410519</v>
      </c>
    </row>
    <row r="160" spans="1:24" x14ac:dyDescent="0.35">
      <c r="A160" s="34">
        <v>133</v>
      </c>
      <c r="B160" s="2">
        <v>0.7311106925390003</v>
      </c>
      <c r="C160" s="91">
        <f t="shared" si="9"/>
        <v>36.161756236300576</v>
      </c>
      <c r="D160" s="13">
        <v>148485.26870890171</v>
      </c>
      <c r="E160" s="13">
        <v>150485.26870890171</v>
      </c>
      <c r="F160" s="13">
        <v>152485.26870890171</v>
      </c>
      <c r="G160" s="13">
        <v>154485.26870890171</v>
      </c>
      <c r="H160" s="13">
        <v>156485.26870890171</v>
      </c>
      <c r="I160" s="13">
        <v>158485.26870890171</v>
      </c>
      <c r="J160" s="13">
        <v>160485.26870890171</v>
      </c>
      <c r="K160" s="13">
        <v>162485.26870890171</v>
      </c>
      <c r="L160" s="13">
        <v>164485.26870890171</v>
      </c>
      <c r="M160" s="13">
        <v>166485.26870890171</v>
      </c>
      <c r="N160" s="13">
        <v>168485.26870890171</v>
      </c>
      <c r="O160" s="13">
        <v>170485.26870890171</v>
      </c>
      <c r="P160" s="13">
        <v>172485.26870890171</v>
      </c>
      <c r="Q160" s="13">
        <v>174485.26870890171</v>
      </c>
      <c r="R160" s="13">
        <v>176485.26870890171</v>
      </c>
      <c r="S160" s="13">
        <v>178485.26870890171</v>
      </c>
      <c r="T160" s="13">
        <v>180485.26870890171</v>
      </c>
      <c r="U160" s="13">
        <v>178294.04989040457</v>
      </c>
      <c r="V160" s="13">
        <v>175294.04989040457</v>
      </c>
      <c r="W160" s="13">
        <v>172294.04989040457</v>
      </c>
      <c r="X160" s="13">
        <v>169294.04989040457</v>
      </c>
    </row>
    <row r="161" spans="1:24" x14ac:dyDescent="0.35">
      <c r="A161" s="34">
        <v>134</v>
      </c>
      <c r="B161" s="2">
        <v>0.82878162212644091</v>
      </c>
      <c r="C161" s="91">
        <f t="shared" si="9"/>
        <v>39.49361556408175</v>
      </c>
      <c r="D161" s="13">
        <v>158480.84669224534</v>
      </c>
      <c r="E161" s="13">
        <v>160480.84669224534</v>
      </c>
      <c r="F161" s="13">
        <v>162480.84669224534</v>
      </c>
      <c r="G161" s="13">
        <v>164480.84669224534</v>
      </c>
      <c r="H161" s="13">
        <v>166480.84669224534</v>
      </c>
      <c r="I161" s="13">
        <v>168480.84669224534</v>
      </c>
      <c r="J161" s="13">
        <v>170480.84669224534</v>
      </c>
      <c r="K161" s="13">
        <v>172480.84669224534</v>
      </c>
      <c r="L161" s="13">
        <v>174480.84669224534</v>
      </c>
      <c r="M161" s="13">
        <v>176480.84669224534</v>
      </c>
      <c r="N161" s="13">
        <v>178480.84669224534</v>
      </c>
      <c r="O161" s="13">
        <v>180480.84669224534</v>
      </c>
      <c r="P161" s="13">
        <v>182480.84669224534</v>
      </c>
      <c r="Q161" s="13">
        <v>184480.84669224534</v>
      </c>
      <c r="R161" s="13">
        <v>186480.84669224534</v>
      </c>
      <c r="S161" s="13">
        <v>188480.84669224534</v>
      </c>
      <c r="T161" s="13">
        <v>190480.84669224534</v>
      </c>
      <c r="U161" s="13">
        <v>192480.84669224534</v>
      </c>
      <c r="V161" s="13">
        <v>194480.84669224534</v>
      </c>
      <c r="W161" s="13">
        <v>196480.84669224534</v>
      </c>
      <c r="X161" s="13">
        <v>195948.92451265396</v>
      </c>
    </row>
    <row r="162" spans="1:24" x14ac:dyDescent="0.35">
      <c r="A162" s="34">
        <v>135</v>
      </c>
      <c r="B162" s="2">
        <v>0.45473064933946028</v>
      </c>
      <c r="C162" s="91">
        <f t="shared" si="9"/>
        <v>28.862819439038731</v>
      </c>
      <c r="D162" s="13">
        <v>126588.45831711625</v>
      </c>
      <c r="E162" s="13">
        <v>128588.45831711625</v>
      </c>
      <c r="F162" s="13">
        <v>130588.45831711625</v>
      </c>
      <c r="G162" s="13">
        <v>132588.45831711625</v>
      </c>
      <c r="H162" s="13">
        <v>134588.45831711625</v>
      </c>
      <c r="I162" s="13">
        <v>136588.45831711625</v>
      </c>
      <c r="J162" s="13">
        <v>138588.45831711625</v>
      </c>
      <c r="K162" s="13">
        <v>140588.45831711625</v>
      </c>
      <c r="L162" s="13">
        <v>142588.45831711625</v>
      </c>
      <c r="M162" s="13">
        <v>143902.55551230989</v>
      </c>
      <c r="N162" s="13">
        <v>140902.55551230989</v>
      </c>
      <c r="O162" s="13">
        <v>137902.55551230989</v>
      </c>
      <c r="P162" s="13">
        <v>134902.55551230989</v>
      </c>
      <c r="Q162" s="13">
        <v>131902.55551230989</v>
      </c>
      <c r="R162" s="13">
        <v>128902.55551230989</v>
      </c>
      <c r="S162" s="13">
        <v>125902.55551230989</v>
      </c>
      <c r="T162" s="13">
        <v>122902.55551230989</v>
      </c>
      <c r="U162" s="13">
        <v>119902.55551230989</v>
      </c>
      <c r="V162" s="13">
        <v>116902.55551230989</v>
      </c>
      <c r="W162" s="13">
        <v>113902.55551230989</v>
      </c>
      <c r="X162" s="13">
        <v>110902.55551230989</v>
      </c>
    </row>
    <row r="163" spans="1:24" x14ac:dyDescent="0.35">
      <c r="A163" s="34">
        <v>136</v>
      </c>
      <c r="B163" s="2">
        <v>0.97507654022563717</v>
      </c>
      <c r="C163" s="91">
        <f t="shared" si="9"/>
        <v>49.612752781622767</v>
      </c>
      <c r="D163" s="13">
        <v>188838.2583448682</v>
      </c>
      <c r="E163" s="13">
        <v>190838.2583448682</v>
      </c>
      <c r="F163" s="13">
        <v>192838.2583448682</v>
      </c>
      <c r="G163" s="13">
        <v>194838.2583448682</v>
      </c>
      <c r="H163" s="13">
        <v>196838.2583448682</v>
      </c>
      <c r="I163" s="13">
        <v>198838.2583448682</v>
      </c>
      <c r="J163" s="13">
        <v>200838.2583448682</v>
      </c>
      <c r="K163" s="13">
        <v>202838.2583448682</v>
      </c>
      <c r="L163" s="13">
        <v>204838.2583448682</v>
      </c>
      <c r="M163" s="13">
        <v>206838.2583448682</v>
      </c>
      <c r="N163" s="13">
        <v>208838.2583448682</v>
      </c>
      <c r="O163" s="13">
        <v>210838.2583448682</v>
      </c>
      <c r="P163" s="13">
        <v>212838.2583448682</v>
      </c>
      <c r="Q163" s="13">
        <v>214838.2583448682</v>
      </c>
      <c r="R163" s="13">
        <v>216838.2583448682</v>
      </c>
      <c r="S163" s="13">
        <v>218838.2583448682</v>
      </c>
      <c r="T163" s="13">
        <v>220838.2583448682</v>
      </c>
      <c r="U163" s="13">
        <v>222838.2583448682</v>
      </c>
      <c r="V163" s="13">
        <v>224838.2583448682</v>
      </c>
      <c r="W163" s="13">
        <v>226838.2583448682</v>
      </c>
      <c r="X163" s="13">
        <v>228838.2583448682</v>
      </c>
    </row>
    <row r="164" spans="1:24" x14ac:dyDescent="0.35">
      <c r="A164" s="34">
        <v>137</v>
      </c>
      <c r="B164" s="2">
        <v>0.73932489459830397</v>
      </c>
      <c r="C164" s="91">
        <f t="shared" si="9"/>
        <v>36.412654835209707</v>
      </c>
      <c r="D164" s="13">
        <v>149237.96450562915</v>
      </c>
      <c r="E164" s="13">
        <v>151237.96450562915</v>
      </c>
      <c r="F164" s="13">
        <v>153237.96450562915</v>
      </c>
      <c r="G164" s="13">
        <v>155237.96450562915</v>
      </c>
      <c r="H164" s="13">
        <v>157237.96450562915</v>
      </c>
      <c r="I164" s="13">
        <v>159237.96450562915</v>
      </c>
      <c r="J164" s="13">
        <v>161237.96450562915</v>
      </c>
      <c r="K164" s="13">
        <v>163237.96450562915</v>
      </c>
      <c r="L164" s="13">
        <v>165237.96450562915</v>
      </c>
      <c r="M164" s="13">
        <v>167237.96450562915</v>
      </c>
      <c r="N164" s="13">
        <v>169237.96450562915</v>
      </c>
      <c r="O164" s="13">
        <v>171237.96450562915</v>
      </c>
      <c r="P164" s="13">
        <v>173237.96450562915</v>
      </c>
      <c r="Q164" s="13">
        <v>175237.96450562915</v>
      </c>
      <c r="R164" s="13">
        <v>177237.96450562915</v>
      </c>
      <c r="S164" s="13">
        <v>179237.96450562915</v>
      </c>
      <c r="T164" s="13">
        <v>181237.96450562915</v>
      </c>
      <c r="U164" s="13">
        <v>180301.23868167761</v>
      </c>
      <c r="V164" s="13">
        <v>177301.23868167761</v>
      </c>
      <c r="W164" s="13">
        <v>174301.23868167761</v>
      </c>
      <c r="X164" s="13">
        <v>171301.23868167761</v>
      </c>
    </row>
    <row r="165" spans="1:24" x14ac:dyDescent="0.35">
      <c r="A165" s="34">
        <v>138</v>
      </c>
      <c r="B165" s="2">
        <v>0.67392824875372048</v>
      </c>
      <c r="C165" s="91">
        <f t="shared" si="9"/>
        <v>34.507864022958003</v>
      </c>
      <c r="D165" s="13">
        <v>143523.59206887404</v>
      </c>
      <c r="E165" s="13">
        <v>145523.59206887404</v>
      </c>
      <c r="F165" s="13">
        <v>147523.59206887404</v>
      </c>
      <c r="G165" s="13">
        <v>149523.59206887404</v>
      </c>
      <c r="H165" s="13">
        <v>151523.59206887404</v>
      </c>
      <c r="I165" s="13">
        <v>153523.59206887404</v>
      </c>
      <c r="J165" s="13">
        <v>155523.59206887404</v>
      </c>
      <c r="K165" s="13">
        <v>157523.59206887404</v>
      </c>
      <c r="L165" s="13">
        <v>159523.59206887404</v>
      </c>
      <c r="M165" s="13">
        <v>161523.59206887404</v>
      </c>
      <c r="N165" s="13">
        <v>163523.59206887404</v>
      </c>
      <c r="O165" s="13">
        <v>165523.59206887404</v>
      </c>
      <c r="P165" s="13">
        <v>167523.59206887404</v>
      </c>
      <c r="Q165" s="13">
        <v>169523.59206887404</v>
      </c>
      <c r="R165" s="13">
        <v>171523.59206887404</v>
      </c>
      <c r="S165" s="13">
        <v>171062.91218366404</v>
      </c>
      <c r="T165" s="13">
        <v>168062.91218366404</v>
      </c>
      <c r="U165" s="13">
        <v>165062.91218366404</v>
      </c>
      <c r="V165" s="13">
        <v>162062.91218366404</v>
      </c>
      <c r="W165" s="13">
        <v>159062.91218366404</v>
      </c>
      <c r="X165" s="13">
        <v>156062.91218366404</v>
      </c>
    </row>
    <row r="166" spans="1:24" x14ac:dyDescent="0.35">
      <c r="A166" s="34">
        <v>139</v>
      </c>
      <c r="B166" s="2">
        <v>0.11176032264144387</v>
      </c>
      <c r="C166" s="91">
        <f t="shared" si="9"/>
        <v>17.827803223975884</v>
      </c>
      <c r="D166" s="13">
        <v>82622.425791807123</v>
      </c>
      <c r="E166" s="13">
        <v>79622.425791807123</v>
      </c>
      <c r="F166" s="13">
        <v>76622.425791807123</v>
      </c>
      <c r="G166" s="13">
        <v>73622.425791807123</v>
      </c>
      <c r="H166" s="13">
        <v>70622.425791807123</v>
      </c>
      <c r="I166" s="13">
        <v>67622.425791807123</v>
      </c>
      <c r="J166" s="13">
        <v>64622.425791807123</v>
      </c>
      <c r="K166" s="13">
        <v>61622.425791807123</v>
      </c>
      <c r="L166" s="13">
        <v>58622.425791807123</v>
      </c>
      <c r="M166" s="13">
        <v>55622.425791807123</v>
      </c>
      <c r="N166" s="13">
        <v>52622.425791807123</v>
      </c>
      <c r="O166" s="13">
        <v>49622.425791807123</v>
      </c>
      <c r="P166" s="13">
        <v>46622.425791807123</v>
      </c>
      <c r="Q166" s="13">
        <v>43622.425791807123</v>
      </c>
      <c r="R166" s="13">
        <v>40622.425791807123</v>
      </c>
      <c r="S166" s="13">
        <v>37622.425791807123</v>
      </c>
      <c r="T166" s="13">
        <v>34622.425791807123</v>
      </c>
      <c r="U166" s="13">
        <v>31622.425791807123</v>
      </c>
      <c r="V166" s="13">
        <v>28622.425791807123</v>
      </c>
      <c r="W166" s="13">
        <v>25622.425791807123</v>
      </c>
      <c r="X166" s="13">
        <v>22622.425791807123</v>
      </c>
    </row>
    <row r="167" spans="1:24" x14ac:dyDescent="0.35">
      <c r="A167" s="34">
        <v>140</v>
      </c>
      <c r="B167" s="2">
        <v>0.98737100940976952</v>
      </c>
      <c r="C167" s="91">
        <f t="shared" si="9"/>
        <v>52.374341112616975</v>
      </c>
      <c r="D167" s="13">
        <v>197123.02333785081</v>
      </c>
      <c r="E167" s="13">
        <v>199123.02333785081</v>
      </c>
      <c r="F167" s="13">
        <v>201123.02333785081</v>
      </c>
      <c r="G167" s="13">
        <v>203123.02333785081</v>
      </c>
      <c r="H167" s="13">
        <v>205123.02333785081</v>
      </c>
      <c r="I167" s="13">
        <v>207123.02333785081</v>
      </c>
      <c r="J167" s="13">
        <v>209123.02333785081</v>
      </c>
      <c r="K167" s="13">
        <v>211123.02333785081</v>
      </c>
      <c r="L167" s="13">
        <v>213123.02333785081</v>
      </c>
      <c r="M167" s="13">
        <v>215123.02333785081</v>
      </c>
      <c r="N167" s="13">
        <v>217123.02333785081</v>
      </c>
      <c r="O167" s="13">
        <v>219123.02333785081</v>
      </c>
      <c r="P167" s="13">
        <v>221123.02333785081</v>
      </c>
      <c r="Q167" s="13">
        <v>223123.02333785081</v>
      </c>
      <c r="R167" s="13">
        <v>225123.02333785081</v>
      </c>
      <c r="S167" s="13">
        <v>227123.02333785081</v>
      </c>
      <c r="T167" s="13">
        <v>229123.02333785081</v>
      </c>
      <c r="U167" s="13">
        <v>231123.02333785081</v>
      </c>
      <c r="V167" s="13">
        <v>233123.02333785081</v>
      </c>
      <c r="W167" s="13">
        <v>235123.02333785081</v>
      </c>
      <c r="X167" s="13">
        <v>237123.02333785081</v>
      </c>
    </row>
    <row r="168" spans="1:24" x14ac:dyDescent="0.35">
      <c r="A168" s="34">
        <v>141</v>
      </c>
      <c r="B168" s="2">
        <v>0.46116326781077976</v>
      </c>
      <c r="C168" s="91">
        <f t="shared" si="9"/>
        <v>29.024964757505455</v>
      </c>
      <c r="D168" s="13">
        <v>127074.89427251637</v>
      </c>
      <c r="E168" s="13">
        <v>129074.89427251637</v>
      </c>
      <c r="F168" s="13">
        <v>131074.89427251637</v>
      </c>
      <c r="G168" s="13">
        <v>133074.89427251637</v>
      </c>
      <c r="H168" s="13">
        <v>135074.89427251637</v>
      </c>
      <c r="I168" s="13">
        <v>137074.89427251637</v>
      </c>
      <c r="J168" s="13">
        <v>139074.89427251637</v>
      </c>
      <c r="K168" s="13">
        <v>141074.89427251637</v>
      </c>
      <c r="L168" s="13">
        <v>143074.89427251637</v>
      </c>
      <c r="M168" s="13">
        <v>145074.89427251637</v>
      </c>
      <c r="N168" s="13">
        <v>142199.71806004364</v>
      </c>
      <c r="O168" s="13">
        <v>139199.71806004364</v>
      </c>
      <c r="P168" s="13">
        <v>136199.71806004364</v>
      </c>
      <c r="Q168" s="13">
        <v>133199.71806004364</v>
      </c>
      <c r="R168" s="13">
        <v>130199.71806004364</v>
      </c>
      <c r="S168" s="13">
        <v>127199.71806004364</v>
      </c>
      <c r="T168" s="13">
        <v>124199.71806004364</v>
      </c>
      <c r="U168" s="13">
        <v>121199.71806004364</v>
      </c>
      <c r="V168" s="13">
        <v>118199.71806004364</v>
      </c>
      <c r="W168" s="13">
        <v>115199.71806004364</v>
      </c>
      <c r="X168" s="13">
        <v>112199.71806004364</v>
      </c>
    </row>
    <row r="169" spans="1:24" x14ac:dyDescent="0.35">
      <c r="A169" s="34">
        <v>142</v>
      </c>
      <c r="B169" s="2">
        <v>0.22837578383649959</v>
      </c>
      <c r="C169" s="91">
        <f t="shared" si="9"/>
        <v>22.55793518857519</v>
      </c>
      <c r="D169" s="13">
        <v>107673.8055657256</v>
      </c>
      <c r="E169" s="13">
        <v>109673.8055657256</v>
      </c>
      <c r="F169" s="13">
        <v>111673.8055657256</v>
      </c>
      <c r="G169" s="13">
        <v>111463.48150860157</v>
      </c>
      <c r="H169" s="13">
        <v>108463.48150860157</v>
      </c>
      <c r="I169" s="13">
        <v>105463.48150860157</v>
      </c>
      <c r="J169" s="13">
        <v>102463.48150860157</v>
      </c>
      <c r="K169" s="13">
        <v>99463.481508601573</v>
      </c>
      <c r="L169" s="13">
        <v>96463.481508601573</v>
      </c>
      <c r="M169" s="13">
        <v>93463.481508601573</v>
      </c>
      <c r="N169" s="13">
        <v>90463.481508601573</v>
      </c>
      <c r="O169" s="13">
        <v>87463.481508601573</v>
      </c>
      <c r="P169" s="13">
        <v>84463.481508601573</v>
      </c>
      <c r="Q169" s="13">
        <v>81463.481508601573</v>
      </c>
      <c r="R169" s="13">
        <v>78463.481508601573</v>
      </c>
      <c r="S169" s="13">
        <v>75463.481508601573</v>
      </c>
      <c r="T169" s="13">
        <v>72463.481508601573</v>
      </c>
      <c r="U169" s="13">
        <v>69463.481508601573</v>
      </c>
      <c r="V169" s="13">
        <v>66463.481508601573</v>
      </c>
      <c r="W169" s="13">
        <v>63463.481508601573</v>
      </c>
      <c r="X169" s="13">
        <v>60463.481508601573</v>
      </c>
    </row>
    <row r="170" spans="1:24" x14ac:dyDescent="0.35">
      <c r="A170" s="34">
        <v>143</v>
      </c>
      <c r="B170" s="2">
        <v>0.54910261147649342</v>
      </c>
      <c r="C170" s="91">
        <f t="shared" si="9"/>
        <v>31.233944180488415</v>
      </c>
      <c r="D170" s="13">
        <v>133701.83254146518</v>
      </c>
      <c r="E170" s="13">
        <v>135701.83254146518</v>
      </c>
      <c r="F170" s="13">
        <v>137701.83254146518</v>
      </c>
      <c r="G170" s="13">
        <v>139701.83254146518</v>
      </c>
      <c r="H170" s="13">
        <v>141701.83254146518</v>
      </c>
      <c r="I170" s="13">
        <v>143701.83254146518</v>
      </c>
      <c r="J170" s="13">
        <v>145701.83254146518</v>
      </c>
      <c r="K170" s="13">
        <v>147701.83254146518</v>
      </c>
      <c r="L170" s="13">
        <v>149701.83254146518</v>
      </c>
      <c r="M170" s="13">
        <v>151701.83254146518</v>
      </c>
      <c r="N170" s="13">
        <v>153701.83254146518</v>
      </c>
      <c r="O170" s="13">
        <v>155701.83254146518</v>
      </c>
      <c r="P170" s="13">
        <v>153871.55344390729</v>
      </c>
      <c r="Q170" s="13">
        <v>150871.55344390729</v>
      </c>
      <c r="R170" s="13">
        <v>147871.55344390729</v>
      </c>
      <c r="S170" s="13">
        <v>144871.55344390729</v>
      </c>
      <c r="T170" s="13">
        <v>141871.55344390729</v>
      </c>
      <c r="U170" s="13">
        <v>138871.55344390729</v>
      </c>
      <c r="V170" s="13">
        <v>135871.55344390729</v>
      </c>
      <c r="W170" s="13">
        <v>132871.55344390729</v>
      </c>
      <c r="X170" s="13">
        <v>129871.55344390729</v>
      </c>
    </row>
    <row r="171" spans="1:24" x14ac:dyDescent="0.35">
      <c r="A171" s="34">
        <v>144</v>
      </c>
      <c r="B171" s="2">
        <v>0.52452247739691016</v>
      </c>
      <c r="C171" s="91">
        <f t="shared" si="9"/>
        <v>30.615074954480775</v>
      </c>
      <c r="D171" s="13">
        <v>131845.22486344236</v>
      </c>
      <c r="E171" s="13">
        <v>133845.22486344236</v>
      </c>
      <c r="F171" s="13">
        <v>135845.22486344236</v>
      </c>
      <c r="G171" s="13">
        <v>137845.22486344236</v>
      </c>
      <c r="H171" s="13">
        <v>139845.22486344236</v>
      </c>
      <c r="I171" s="13">
        <v>141845.22486344236</v>
      </c>
      <c r="J171" s="13">
        <v>143845.22486344236</v>
      </c>
      <c r="K171" s="13">
        <v>145845.22486344236</v>
      </c>
      <c r="L171" s="13">
        <v>147845.22486344236</v>
      </c>
      <c r="M171" s="13">
        <v>149845.22486344236</v>
      </c>
      <c r="N171" s="13">
        <v>151845.22486344236</v>
      </c>
      <c r="O171" s="13">
        <v>151920.59963584621</v>
      </c>
      <c r="P171" s="13">
        <v>148920.59963584621</v>
      </c>
      <c r="Q171" s="13">
        <v>145920.59963584621</v>
      </c>
      <c r="R171" s="13">
        <v>142920.59963584621</v>
      </c>
      <c r="S171" s="13">
        <v>139920.59963584621</v>
      </c>
      <c r="T171" s="13">
        <v>136920.59963584621</v>
      </c>
      <c r="U171" s="13">
        <v>133920.59963584621</v>
      </c>
      <c r="V171" s="13">
        <v>130920.59963584621</v>
      </c>
      <c r="W171" s="13">
        <v>127920.59963584621</v>
      </c>
      <c r="X171" s="13">
        <v>124920.59963584621</v>
      </c>
    </row>
    <row r="172" spans="1:24" x14ac:dyDescent="0.35">
      <c r="A172" s="34">
        <v>145</v>
      </c>
      <c r="B172" s="2">
        <v>4.5211476822916152E-3</v>
      </c>
      <c r="C172" s="91">
        <f t="shared" si="9"/>
        <v>3.895491087369976</v>
      </c>
      <c r="D172" s="13">
        <v>-28836.07130104024</v>
      </c>
      <c r="E172" s="13">
        <v>-31836.07130104024</v>
      </c>
      <c r="F172" s="13">
        <v>-34836.07130104024</v>
      </c>
      <c r="G172" s="13">
        <v>-37836.07130104024</v>
      </c>
      <c r="H172" s="13">
        <v>-40836.07130104024</v>
      </c>
      <c r="I172" s="13">
        <v>-43836.07130104024</v>
      </c>
      <c r="J172" s="13">
        <v>-46836.07130104024</v>
      </c>
      <c r="K172" s="13">
        <v>-49836.07130104024</v>
      </c>
      <c r="L172" s="13">
        <v>-52836.07130104024</v>
      </c>
      <c r="M172" s="13">
        <v>-55836.07130104024</v>
      </c>
      <c r="N172" s="13">
        <v>-58836.07130104024</v>
      </c>
      <c r="O172" s="13">
        <v>-61836.07130104024</v>
      </c>
      <c r="P172" s="13">
        <v>-64836.07130104024</v>
      </c>
      <c r="Q172" s="13">
        <v>-67836.07130104024</v>
      </c>
      <c r="R172" s="13">
        <v>-70836.07130104024</v>
      </c>
      <c r="S172" s="13">
        <v>-73836.07130104024</v>
      </c>
      <c r="T172" s="13">
        <v>-76836.07130104024</v>
      </c>
      <c r="U172" s="13">
        <v>-79836.07130104024</v>
      </c>
      <c r="V172" s="13">
        <v>-82836.07130104024</v>
      </c>
      <c r="W172" s="13">
        <v>-85836.07130104024</v>
      </c>
      <c r="X172" s="13">
        <v>-88836.07130104024</v>
      </c>
    </row>
    <row r="173" spans="1:24" x14ac:dyDescent="0.35">
      <c r="A173" s="34">
        <v>146</v>
      </c>
      <c r="B173" s="2">
        <v>0.3378311095581974</v>
      </c>
      <c r="C173" s="91">
        <f t="shared" si="9"/>
        <v>25.816103042027706</v>
      </c>
      <c r="D173" s="13">
        <v>117448.30912608316</v>
      </c>
      <c r="E173" s="13">
        <v>119448.30912608316</v>
      </c>
      <c r="F173" s="13">
        <v>121448.30912608316</v>
      </c>
      <c r="G173" s="13">
        <v>123448.30912608316</v>
      </c>
      <c r="H173" s="13">
        <v>125448.30912608316</v>
      </c>
      <c r="I173" s="13">
        <v>127448.30912608316</v>
      </c>
      <c r="J173" s="13">
        <v>128528.82433622156</v>
      </c>
      <c r="K173" s="13">
        <v>125528.82433622156</v>
      </c>
      <c r="L173" s="13">
        <v>122528.82433622156</v>
      </c>
      <c r="M173" s="13">
        <v>119528.82433622156</v>
      </c>
      <c r="N173" s="13">
        <v>116528.82433622156</v>
      </c>
      <c r="O173" s="13">
        <v>113528.82433622156</v>
      </c>
      <c r="P173" s="13">
        <v>110528.82433622156</v>
      </c>
      <c r="Q173" s="13">
        <v>107528.82433622156</v>
      </c>
      <c r="R173" s="13">
        <v>104528.82433622156</v>
      </c>
      <c r="S173" s="13">
        <v>101528.82433622156</v>
      </c>
      <c r="T173" s="13">
        <v>98528.824336221558</v>
      </c>
      <c r="U173" s="13">
        <v>95528.824336221558</v>
      </c>
      <c r="V173" s="13">
        <v>92528.824336221558</v>
      </c>
      <c r="W173" s="13">
        <v>89528.824336221558</v>
      </c>
      <c r="X173" s="13">
        <v>86528.824336221558</v>
      </c>
    </row>
    <row r="174" spans="1:24" x14ac:dyDescent="0.35">
      <c r="A174" s="34">
        <v>147</v>
      </c>
      <c r="B174" s="2">
        <v>0.18653623245502193</v>
      </c>
      <c r="C174" s="91">
        <f t="shared" si="9"/>
        <v>21.092670714063324</v>
      </c>
      <c r="D174" s="13">
        <v>103278.01214218995</v>
      </c>
      <c r="E174" s="13">
        <v>105278.01214218995</v>
      </c>
      <c r="F174" s="13">
        <v>102741.36571250658</v>
      </c>
      <c r="G174" s="13">
        <v>99741.36571250658</v>
      </c>
      <c r="H174" s="13">
        <v>96741.36571250658</v>
      </c>
      <c r="I174" s="13">
        <v>93741.36571250658</v>
      </c>
      <c r="J174" s="13">
        <v>90741.36571250658</v>
      </c>
      <c r="K174" s="13">
        <v>87741.36571250658</v>
      </c>
      <c r="L174" s="13">
        <v>84741.36571250658</v>
      </c>
      <c r="M174" s="13">
        <v>81741.36571250658</v>
      </c>
      <c r="N174" s="13">
        <v>78741.36571250658</v>
      </c>
      <c r="O174" s="13">
        <v>75741.36571250658</v>
      </c>
      <c r="P174" s="13">
        <v>72741.36571250658</v>
      </c>
      <c r="Q174" s="13">
        <v>69741.36571250658</v>
      </c>
      <c r="R174" s="13">
        <v>66741.36571250658</v>
      </c>
      <c r="S174" s="13">
        <v>63741.36571250658</v>
      </c>
      <c r="T174" s="13">
        <v>60741.36571250658</v>
      </c>
      <c r="U174" s="13">
        <v>57741.36571250658</v>
      </c>
      <c r="V174" s="13">
        <v>54741.36571250658</v>
      </c>
      <c r="W174" s="13">
        <v>51741.36571250658</v>
      </c>
      <c r="X174" s="13">
        <v>48741.36571250658</v>
      </c>
    </row>
    <row r="175" spans="1:24" x14ac:dyDescent="0.35">
      <c r="A175" s="34">
        <v>148</v>
      </c>
      <c r="B175" s="2">
        <v>0.38170739723158564</v>
      </c>
      <c r="C175" s="91">
        <f t="shared" si="9"/>
        <v>26.9900039333994</v>
      </c>
      <c r="D175" s="13">
        <v>120970.01180019823</v>
      </c>
      <c r="E175" s="13">
        <v>122970.01180019823</v>
      </c>
      <c r="F175" s="13">
        <v>124970.01180019812</v>
      </c>
      <c r="G175" s="13">
        <v>126970.01180019812</v>
      </c>
      <c r="H175" s="13">
        <v>128970.01180019812</v>
      </c>
      <c r="I175" s="13">
        <v>130970.01180019812</v>
      </c>
      <c r="J175" s="13">
        <v>132970.01180019812</v>
      </c>
      <c r="K175" s="13">
        <v>134920.03146719513</v>
      </c>
      <c r="L175" s="13">
        <v>131920.03146719513</v>
      </c>
      <c r="M175" s="13">
        <v>128920.03146719513</v>
      </c>
      <c r="N175" s="13">
        <v>125920.03146719513</v>
      </c>
      <c r="O175" s="13">
        <v>122920.03146719513</v>
      </c>
      <c r="P175" s="13">
        <v>119920.03146719513</v>
      </c>
      <c r="Q175" s="13">
        <v>116920.03146719513</v>
      </c>
      <c r="R175" s="13">
        <v>113920.03146719513</v>
      </c>
      <c r="S175" s="13">
        <v>110920.03146719513</v>
      </c>
      <c r="T175" s="13">
        <v>107920.03146719513</v>
      </c>
      <c r="U175" s="13">
        <v>104920.03146719513</v>
      </c>
      <c r="V175" s="13">
        <v>101920.03146719513</v>
      </c>
      <c r="W175" s="13">
        <v>98920.031467195135</v>
      </c>
      <c r="X175" s="13">
        <v>95920.031467195135</v>
      </c>
    </row>
    <row r="176" spans="1:24" x14ac:dyDescent="0.35">
      <c r="A176" s="34">
        <v>149</v>
      </c>
      <c r="B176" s="2">
        <v>0.8846082777840224</v>
      </c>
      <c r="C176" s="91">
        <f t="shared" si="9"/>
        <v>41.983431760968251</v>
      </c>
      <c r="D176" s="13">
        <v>165950.29528290476</v>
      </c>
      <c r="E176" s="13">
        <v>167950.29528290476</v>
      </c>
      <c r="F176" s="13">
        <v>169950.29528290476</v>
      </c>
      <c r="G176" s="13">
        <v>171950.29528290476</v>
      </c>
      <c r="H176" s="13">
        <v>173950.29528290476</v>
      </c>
      <c r="I176" s="13">
        <v>175950.29528290476</v>
      </c>
      <c r="J176" s="13">
        <v>177950.29528290476</v>
      </c>
      <c r="K176" s="13">
        <v>179950.29528290476</v>
      </c>
      <c r="L176" s="13">
        <v>181950.29528290476</v>
      </c>
      <c r="M176" s="13">
        <v>183950.29528290476</v>
      </c>
      <c r="N176" s="13">
        <v>185950.29528290476</v>
      </c>
      <c r="O176" s="13">
        <v>187950.29528290476</v>
      </c>
      <c r="P176" s="13">
        <v>189950.29528290476</v>
      </c>
      <c r="Q176" s="13">
        <v>191950.29528290476</v>
      </c>
      <c r="R176" s="13">
        <v>193950.29528290476</v>
      </c>
      <c r="S176" s="13">
        <v>195950.29528290476</v>
      </c>
      <c r="T176" s="13">
        <v>197950.29528290476</v>
      </c>
      <c r="U176" s="13">
        <v>199950.29528290476</v>
      </c>
      <c r="V176" s="13">
        <v>201950.29528290476</v>
      </c>
      <c r="W176" s="13">
        <v>203950.29528290476</v>
      </c>
      <c r="X176" s="13">
        <v>205950.29528290476</v>
      </c>
    </row>
    <row r="177" spans="1:24" x14ac:dyDescent="0.35">
      <c r="A177" s="34">
        <v>150</v>
      </c>
      <c r="B177" s="2">
        <v>0.25829870747394157</v>
      </c>
      <c r="C177" s="91">
        <f t="shared" si="9"/>
        <v>23.514007106111521</v>
      </c>
      <c r="D177" s="13">
        <v>110542.02131833456</v>
      </c>
      <c r="E177" s="13">
        <v>112542.02131833456</v>
      </c>
      <c r="F177" s="13">
        <v>114542.02131833456</v>
      </c>
      <c r="G177" s="13">
        <v>116542.02131833456</v>
      </c>
      <c r="H177" s="13">
        <v>116112.05684889213</v>
      </c>
      <c r="I177" s="13">
        <v>113112.05684889213</v>
      </c>
      <c r="J177" s="13">
        <v>110112.05684889213</v>
      </c>
      <c r="K177" s="13">
        <v>107112.05684889213</v>
      </c>
      <c r="L177" s="13">
        <v>104112.05684889213</v>
      </c>
      <c r="M177" s="13">
        <v>101112.05684889213</v>
      </c>
      <c r="N177" s="13">
        <v>98112.056848892127</v>
      </c>
      <c r="O177" s="13">
        <v>95112.056848892127</v>
      </c>
      <c r="P177" s="13">
        <v>92112.056848892127</v>
      </c>
      <c r="Q177" s="13">
        <v>89112.056848892127</v>
      </c>
      <c r="R177" s="13">
        <v>86112.056848892127</v>
      </c>
      <c r="S177" s="13">
        <v>83112.056848892127</v>
      </c>
      <c r="T177" s="13">
        <v>80112.056848892127</v>
      </c>
      <c r="U177" s="13">
        <v>77112.056848892127</v>
      </c>
      <c r="V177" s="13">
        <v>74112.056848892127</v>
      </c>
      <c r="W177" s="13">
        <v>71112.056848892127</v>
      </c>
      <c r="X177" s="13">
        <v>68112.056848892127</v>
      </c>
    </row>
    <row r="178" spans="1:24" x14ac:dyDescent="0.35">
      <c r="A178" s="34">
        <v>151</v>
      </c>
      <c r="B178" s="2">
        <v>0.79697108974118469</v>
      </c>
      <c r="C178" s="91">
        <f t="shared" si="9"/>
        <v>38.30850977118201</v>
      </c>
      <c r="D178" s="13">
        <v>154925.52931354602</v>
      </c>
      <c r="E178" s="13">
        <v>156925.52931354602</v>
      </c>
      <c r="F178" s="13">
        <v>158925.52931354602</v>
      </c>
      <c r="G178" s="13">
        <v>160925.52931354602</v>
      </c>
      <c r="H178" s="13">
        <v>162925.52931354602</v>
      </c>
      <c r="I178" s="13">
        <v>164925.52931354602</v>
      </c>
      <c r="J178" s="13">
        <v>166925.52931354602</v>
      </c>
      <c r="K178" s="13">
        <v>168925.52931354602</v>
      </c>
      <c r="L178" s="13">
        <v>170925.52931354602</v>
      </c>
      <c r="M178" s="13">
        <v>172925.52931354602</v>
      </c>
      <c r="N178" s="13">
        <v>174925.52931354602</v>
      </c>
      <c r="O178" s="13">
        <v>176925.52931354602</v>
      </c>
      <c r="P178" s="13">
        <v>178925.52931354602</v>
      </c>
      <c r="Q178" s="13">
        <v>180925.52931354602</v>
      </c>
      <c r="R178" s="13">
        <v>182925.52931354602</v>
      </c>
      <c r="S178" s="13">
        <v>184925.52931354602</v>
      </c>
      <c r="T178" s="13">
        <v>186925.52931354602</v>
      </c>
      <c r="U178" s="13">
        <v>188925.52931354602</v>
      </c>
      <c r="V178" s="13">
        <v>190925.52931354602</v>
      </c>
      <c r="W178" s="13">
        <v>189468.0781694561</v>
      </c>
      <c r="X178" s="13">
        <v>186468.0781694561</v>
      </c>
    </row>
    <row r="179" spans="1:24" x14ac:dyDescent="0.35">
      <c r="A179" s="34">
        <v>152</v>
      </c>
      <c r="B179" s="2">
        <v>0.57555442413161717</v>
      </c>
      <c r="C179" s="91">
        <f t="shared" si="9"/>
        <v>31.905334272904085</v>
      </c>
      <c r="D179" s="13">
        <v>135716.00281871227</v>
      </c>
      <c r="E179" s="13">
        <v>137716.00281871227</v>
      </c>
      <c r="F179" s="13">
        <v>139716.00281871227</v>
      </c>
      <c r="G179" s="13">
        <v>141716.00281871227</v>
      </c>
      <c r="H179" s="13">
        <v>143716.00281871227</v>
      </c>
      <c r="I179" s="13">
        <v>145716.00281871227</v>
      </c>
      <c r="J179" s="13">
        <v>147716.00281871227</v>
      </c>
      <c r="K179" s="13">
        <v>149716.00281871227</v>
      </c>
      <c r="L179" s="13">
        <v>151716.00281871227</v>
      </c>
      <c r="M179" s="13">
        <v>153716.00281871227</v>
      </c>
      <c r="N179" s="13">
        <v>155716.00281871227</v>
      </c>
      <c r="O179" s="13">
        <v>157716.00281871227</v>
      </c>
      <c r="P179" s="13">
        <v>159242.67418323271</v>
      </c>
      <c r="Q179" s="13">
        <v>156242.67418323271</v>
      </c>
      <c r="R179" s="13">
        <v>153242.67418323271</v>
      </c>
      <c r="S179" s="13">
        <v>150242.67418323271</v>
      </c>
      <c r="T179" s="13">
        <v>147242.67418323271</v>
      </c>
      <c r="U179" s="13">
        <v>144242.67418323271</v>
      </c>
      <c r="V179" s="13">
        <v>141242.67418323271</v>
      </c>
      <c r="W179" s="13">
        <v>138242.67418323271</v>
      </c>
      <c r="X179" s="13">
        <v>135242.67418323271</v>
      </c>
    </row>
    <row r="180" spans="1:24" x14ac:dyDescent="0.35">
      <c r="A180" s="34">
        <v>153</v>
      </c>
      <c r="B180" s="2">
        <v>0.49997767862511266</v>
      </c>
      <c r="C180" s="91">
        <f t="shared" si="9"/>
        <v>29.999440486105495</v>
      </c>
      <c r="D180" s="13">
        <v>129998.32145831641</v>
      </c>
      <c r="E180" s="13">
        <v>131998.32145831641</v>
      </c>
      <c r="F180" s="13">
        <v>133998.32145831641</v>
      </c>
      <c r="G180" s="13">
        <v>135998.32145831641</v>
      </c>
      <c r="H180" s="13">
        <v>137998.32145831641</v>
      </c>
      <c r="I180" s="13">
        <v>139998.32145831641</v>
      </c>
      <c r="J180" s="13">
        <v>141998.32145831641</v>
      </c>
      <c r="K180" s="13">
        <v>143998.32145831641</v>
      </c>
      <c r="L180" s="13">
        <v>145998.32145831641</v>
      </c>
      <c r="M180" s="13">
        <v>147998.32145831641</v>
      </c>
      <c r="N180" s="13">
        <v>149995.52388884395</v>
      </c>
      <c r="O180" s="13">
        <v>146995.52388884395</v>
      </c>
      <c r="P180" s="13">
        <v>143995.52388884395</v>
      </c>
      <c r="Q180" s="13">
        <v>140995.52388884395</v>
      </c>
      <c r="R180" s="13">
        <v>137995.52388884395</v>
      </c>
      <c r="S180" s="13">
        <v>134995.52388884395</v>
      </c>
      <c r="T180" s="13">
        <v>131995.52388884395</v>
      </c>
      <c r="U180" s="13">
        <v>128995.52388884395</v>
      </c>
      <c r="V180" s="13">
        <v>125995.52388884395</v>
      </c>
      <c r="W180" s="13">
        <v>122995.52388884395</v>
      </c>
      <c r="X180" s="13">
        <v>119995.52388884395</v>
      </c>
    </row>
    <row r="181" spans="1:24" x14ac:dyDescent="0.35">
      <c r="A181" s="34">
        <v>154</v>
      </c>
      <c r="B181" s="2">
        <v>0.26466941394318044</v>
      </c>
      <c r="C181" s="91">
        <f t="shared" si="9"/>
        <v>23.709843764749618</v>
      </c>
      <c r="D181" s="13">
        <v>111129.53129424882</v>
      </c>
      <c r="E181" s="13">
        <v>113129.53129424882</v>
      </c>
      <c r="F181" s="13">
        <v>115129.53129424882</v>
      </c>
      <c r="G181" s="13">
        <v>117129.53129424882</v>
      </c>
      <c r="H181" s="13">
        <v>117678.75011799694</v>
      </c>
      <c r="I181" s="13">
        <v>114678.75011799694</v>
      </c>
      <c r="J181" s="13">
        <v>111678.75011799694</v>
      </c>
      <c r="K181" s="13">
        <v>108678.75011799694</v>
      </c>
      <c r="L181" s="13">
        <v>105678.75011799694</v>
      </c>
      <c r="M181" s="13">
        <v>102678.75011799694</v>
      </c>
      <c r="N181" s="13">
        <v>99678.75011799694</v>
      </c>
      <c r="O181" s="13">
        <v>96678.75011799694</v>
      </c>
      <c r="P181" s="13">
        <v>93678.75011799694</v>
      </c>
      <c r="Q181" s="13">
        <v>90678.75011799694</v>
      </c>
      <c r="R181" s="13">
        <v>87678.75011799694</v>
      </c>
      <c r="S181" s="13">
        <v>84678.75011799694</v>
      </c>
      <c r="T181" s="13">
        <v>81678.75011799694</v>
      </c>
      <c r="U181" s="13">
        <v>78678.75011799694</v>
      </c>
      <c r="V181" s="13">
        <v>75678.75011799694</v>
      </c>
      <c r="W181" s="13">
        <v>72678.75011799694</v>
      </c>
      <c r="X181" s="13">
        <v>69678.75011799694</v>
      </c>
    </row>
    <row r="182" spans="1:24" x14ac:dyDescent="0.35">
      <c r="A182" s="34">
        <v>155</v>
      </c>
      <c r="B182" s="2">
        <v>0.63785275549950093</v>
      </c>
      <c r="C182" s="91">
        <f t="shared" si="9"/>
        <v>33.527251683389082</v>
      </c>
      <c r="D182" s="13">
        <v>140581.75505016721</v>
      </c>
      <c r="E182" s="13">
        <v>142581.75505016721</v>
      </c>
      <c r="F182" s="13">
        <v>144581.75505016721</v>
      </c>
      <c r="G182" s="13">
        <v>146581.75505016721</v>
      </c>
      <c r="H182" s="13">
        <v>148581.75505016732</v>
      </c>
      <c r="I182" s="13">
        <v>150581.75505016732</v>
      </c>
      <c r="J182" s="13">
        <v>152581.75505016732</v>
      </c>
      <c r="K182" s="13">
        <v>154581.75505016732</v>
      </c>
      <c r="L182" s="13">
        <v>156581.75505016732</v>
      </c>
      <c r="M182" s="13">
        <v>158581.75505016732</v>
      </c>
      <c r="N182" s="13">
        <v>160581.75505016732</v>
      </c>
      <c r="O182" s="13">
        <v>162581.75505016732</v>
      </c>
      <c r="P182" s="13">
        <v>164581.75505016732</v>
      </c>
      <c r="Q182" s="13">
        <v>166581.75505016732</v>
      </c>
      <c r="R182" s="13">
        <v>166218.01346711267</v>
      </c>
      <c r="S182" s="13">
        <v>163218.01346711267</v>
      </c>
      <c r="T182" s="13">
        <v>160218.01346711267</v>
      </c>
      <c r="U182" s="13">
        <v>157218.01346711267</v>
      </c>
      <c r="V182" s="13">
        <v>154218.01346711267</v>
      </c>
      <c r="W182" s="13">
        <v>151218.01346711267</v>
      </c>
      <c r="X182" s="13">
        <v>148218.01346711267</v>
      </c>
    </row>
    <row r="183" spans="1:24" x14ac:dyDescent="0.35">
      <c r="A183" s="34">
        <v>156</v>
      </c>
      <c r="B183" s="2">
        <v>0.88554396001228786</v>
      </c>
      <c r="C183" s="91">
        <f t="shared" si="9"/>
        <v>42.031660237342834</v>
      </c>
      <c r="D183" s="13">
        <v>166094.98071202834</v>
      </c>
      <c r="E183" s="13">
        <v>168094.98071202834</v>
      </c>
      <c r="F183" s="13">
        <v>170094.98071202857</v>
      </c>
      <c r="G183" s="13">
        <v>172094.98071202857</v>
      </c>
      <c r="H183" s="13">
        <v>174094.98071202857</v>
      </c>
      <c r="I183" s="13">
        <v>176094.98071202857</v>
      </c>
      <c r="J183" s="13">
        <v>178094.98071202857</v>
      </c>
      <c r="K183" s="13">
        <v>180094.98071202857</v>
      </c>
      <c r="L183" s="13">
        <v>182094.98071202857</v>
      </c>
      <c r="M183" s="13">
        <v>184094.98071202857</v>
      </c>
      <c r="N183" s="13">
        <v>186094.98071202857</v>
      </c>
      <c r="O183" s="13">
        <v>188094.98071202857</v>
      </c>
      <c r="P183" s="13">
        <v>190094.98071202857</v>
      </c>
      <c r="Q183" s="13">
        <v>192094.98071202857</v>
      </c>
      <c r="R183" s="13">
        <v>194094.98071202857</v>
      </c>
      <c r="S183" s="13">
        <v>196094.98071202857</v>
      </c>
      <c r="T183" s="13">
        <v>198094.98071202857</v>
      </c>
      <c r="U183" s="13">
        <v>200094.98071202857</v>
      </c>
      <c r="V183" s="13">
        <v>202094.98071202857</v>
      </c>
      <c r="W183" s="13">
        <v>204094.98071202857</v>
      </c>
      <c r="X183" s="13">
        <v>206094.98071202857</v>
      </c>
    </row>
    <row r="184" spans="1:24" x14ac:dyDescent="0.35">
      <c r="A184" s="34">
        <v>157</v>
      </c>
      <c r="B184" s="2">
        <v>0.69345779540545638</v>
      </c>
      <c r="C184" s="91">
        <f t="shared" si="9"/>
        <v>35.056755869199371</v>
      </c>
      <c r="D184" s="13">
        <v>145170.2676075981</v>
      </c>
      <c r="E184" s="13">
        <v>147170.2676075981</v>
      </c>
      <c r="F184" s="13">
        <v>149170.2676075981</v>
      </c>
      <c r="G184" s="13">
        <v>151170.2676075981</v>
      </c>
      <c r="H184" s="13">
        <v>153170.2676075981</v>
      </c>
      <c r="I184" s="13">
        <v>155170.2676075981</v>
      </c>
      <c r="J184" s="13">
        <v>157170.2676075981</v>
      </c>
      <c r="K184" s="13">
        <v>159170.2676075981</v>
      </c>
      <c r="L184" s="13">
        <v>161170.2676075981</v>
      </c>
      <c r="M184" s="13">
        <v>163170.2676075981</v>
      </c>
      <c r="N184" s="13">
        <v>165170.2676075981</v>
      </c>
      <c r="O184" s="13">
        <v>167170.2676075981</v>
      </c>
      <c r="P184" s="13">
        <v>169170.2676075981</v>
      </c>
      <c r="Q184" s="13">
        <v>171170.2676075981</v>
      </c>
      <c r="R184" s="13">
        <v>173170.2676075981</v>
      </c>
      <c r="S184" s="13">
        <v>175170.2676075981</v>
      </c>
      <c r="T184" s="13">
        <v>172454.04695359501</v>
      </c>
      <c r="U184" s="13">
        <v>169454.04695359501</v>
      </c>
      <c r="V184" s="13">
        <v>166454.04695359501</v>
      </c>
      <c r="W184" s="13">
        <v>163454.04695359501</v>
      </c>
      <c r="X184" s="13">
        <v>160454.04695359501</v>
      </c>
    </row>
    <row r="185" spans="1:24" x14ac:dyDescent="0.35">
      <c r="A185" s="34">
        <v>158</v>
      </c>
      <c r="B185" s="2">
        <v>0.76509529105630969</v>
      </c>
      <c r="C185" s="91">
        <f t="shared" si="9"/>
        <v>37.227891766437338</v>
      </c>
      <c r="D185" s="13">
        <v>151683.67529931199</v>
      </c>
      <c r="E185" s="13">
        <v>153683.67529931199</v>
      </c>
      <c r="F185" s="13">
        <v>155683.67529931199</v>
      </c>
      <c r="G185" s="13">
        <v>157683.67529931199</v>
      </c>
      <c r="H185" s="13">
        <v>159683.67529931199</v>
      </c>
      <c r="I185" s="13">
        <v>161683.67529931199</v>
      </c>
      <c r="J185" s="13">
        <v>163683.67529931199</v>
      </c>
      <c r="K185" s="13">
        <v>165683.67529931199</v>
      </c>
      <c r="L185" s="13">
        <v>167683.67529931199</v>
      </c>
      <c r="M185" s="13">
        <v>169683.67529931199</v>
      </c>
      <c r="N185" s="13">
        <v>171683.67529931199</v>
      </c>
      <c r="O185" s="13">
        <v>173683.67529931199</v>
      </c>
      <c r="P185" s="13">
        <v>175683.67529931199</v>
      </c>
      <c r="Q185" s="13">
        <v>177683.67529931199</v>
      </c>
      <c r="R185" s="13">
        <v>179683.67529931199</v>
      </c>
      <c r="S185" s="13">
        <v>181683.67529931199</v>
      </c>
      <c r="T185" s="13">
        <v>183683.67529931199</v>
      </c>
      <c r="U185" s="13">
        <v>185683.67529931199</v>
      </c>
      <c r="V185" s="13">
        <v>183823.13413149875</v>
      </c>
      <c r="W185" s="13">
        <v>180823.13413149875</v>
      </c>
      <c r="X185" s="13">
        <v>177823.13413149875</v>
      </c>
    </row>
    <row r="186" spans="1:24" x14ac:dyDescent="0.35">
      <c r="A186" s="34">
        <v>159</v>
      </c>
      <c r="B186" s="2">
        <v>0.4482019370980852</v>
      </c>
      <c r="C186" s="91">
        <f t="shared" si="9"/>
        <v>28.697945391081422</v>
      </c>
      <c r="D186" s="13">
        <v>126093.83617324429</v>
      </c>
      <c r="E186" s="13">
        <v>128093.83617324429</v>
      </c>
      <c r="F186" s="13">
        <v>130093.83617324429</v>
      </c>
      <c r="G186" s="13">
        <v>132093.83617324429</v>
      </c>
      <c r="H186" s="13">
        <v>134093.83617324429</v>
      </c>
      <c r="I186" s="13">
        <v>136093.83617324429</v>
      </c>
      <c r="J186" s="13">
        <v>138093.83617324429</v>
      </c>
      <c r="K186" s="13">
        <v>140093.83617324429</v>
      </c>
      <c r="L186" s="13">
        <v>142093.83617324429</v>
      </c>
      <c r="M186" s="13">
        <v>142583.56312865135</v>
      </c>
      <c r="N186" s="13">
        <v>139583.56312865135</v>
      </c>
      <c r="O186" s="13">
        <v>136583.56312865135</v>
      </c>
      <c r="P186" s="13">
        <v>133583.56312865135</v>
      </c>
      <c r="Q186" s="13">
        <v>130583.56312865135</v>
      </c>
      <c r="R186" s="13">
        <v>127583.56312865135</v>
      </c>
      <c r="S186" s="13">
        <v>124583.56312865135</v>
      </c>
      <c r="T186" s="13">
        <v>121583.56312865135</v>
      </c>
      <c r="U186" s="13">
        <v>118583.56312865135</v>
      </c>
      <c r="V186" s="13">
        <v>115583.56312865135</v>
      </c>
      <c r="W186" s="13">
        <v>112583.56312865135</v>
      </c>
      <c r="X186" s="13">
        <v>109583.56312865135</v>
      </c>
    </row>
    <row r="187" spans="1:24" x14ac:dyDescent="0.35">
      <c r="A187" s="34">
        <v>160</v>
      </c>
      <c r="B187" s="2">
        <v>0.5677614314160182</v>
      </c>
      <c r="C187" s="91">
        <f t="shared" si="9"/>
        <v>31.706777777907725</v>
      </c>
      <c r="D187" s="13">
        <v>135120.33333372325</v>
      </c>
      <c r="E187" s="13">
        <v>137120.33333372325</v>
      </c>
      <c r="F187" s="13">
        <v>139120.33333372325</v>
      </c>
      <c r="G187" s="13">
        <v>141120.33333372325</v>
      </c>
      <c r="H187" s="13">
        <v>143120.33333372325</v>
      </c>
      <c r="I187" s="13">
        <v>145120.33333372325</v>
      </c>
      <c r="J187" s="13">
        <v>147120.33333372325</v>
      </c>
      <c r="K187" s="13">
        <v>149120.33333372325</v>
      </c>
      <c r="L187" s="13">
        <v>151120.33333372325</v>
      </c>
      <c r="M187" s="13">
        <v>153120.33333372325</v>
      </c>
      <c r="N187" s="13">
        <v>155120.33333372313</v>
      </c>
      <c r="O187" s="13">
        <v>157120.33333372313</v>
      </c>
      <c r="P187" s="13">
        <v>157654.22222326172</v>
      </c>
      <c r="Q187" s="13">
        <v>154654.22222326172</v>
      </c>
      <c r="R187" s="13">
        <v>151654.22222326172</v>
      </c>
      <c r="S187" s="13">
        <v>148654.22222326172</v>
      </c>
      <c r="T187" s="13">
        <v>145654.22222326172</v>
      </c>
      <c r="U187" s="13">
        <v>142654.22222326172</v>
      </c>
      <c r="V187" s="13">
        <v>139654.22222326172</v>
      </c>
      <c r="W187" s="13">
        <v>136654.22222326172</v>
      </c>
      <c r="X187" s="13">
        <v>133654.22222326172</v>
      </c>
    </row>
    <row r="188" spans="1:24" x14ac:dyDescent="0.35">
      <c r="A188" s="34">
        <v>161</v>
      </c>
      <c r="B188" s="2">
        <v>0.64721638420692995</v>
      </c>
      <c r="C188" s="91">
        <f t="shared" si="9"/>
        <v>33.778160744900461</v>
      </c>
      <c r="D188" s="13">
        <v>141334.4822347014</v>
      </c>
      <c r="E188" s="13">
        <v>143334.4822347014</v>
      </c>
      <c r="F188" s="13">
        <v>145334.4822347014</v>
      </c>
      <c r="G188" s="13">
        <v>147334.4822347014</v>
      </c>
      <c r="H188" s="13">
        <v>149334.4822347014</v>
      </c>
      <c r="I188" s="13">
        <v>151334.4822347014</v>
      </c>
      <c r="J188" s="13">
        <v>153334.4822347014</v>
      </c>
      <c r="K188" s="13">
        <v>155334.4822347014</v>
      </c>
      <c r="L188" s="13">
        <v>157334.4822347014</v>
      </c>
      <c r="M188" s="13">
        <v>159334.4822347014</v>
      </c>
      <c r="N188" s="13">
        <v>161334.4822347014</v>
      </c>
      <c r="O188" s="13">
        <v>163334.4822347014</v>
      </c>
      <c r="P188" s="13">
        <v>165334.4822347014</v>
      </c>
      <c r="Q188" s="13">
        <v>167334.4822347014</v>
      </c>
      <c r="R188" s="13">
        <v>168225.28595920373</v>
      </c>
      <c r="S188" s="13">
        <v>165225.28595920373</v>
      </c>
      <c r="T188" s="13">
        <v>162225.28595920373</v>
      </c>
      <c r="U188" s="13">
        <v>159225.28595920373</v>
      </c>
      <c r="V188" s="13">
        <v>156225.28595920373</v>
      </c>
      <c r="W188" s="13">
        <v>153225.28595920373</v>
      </c>
      <c r="X188" s="13">
        <v>150225.28595920373</v>
      </c>
    </row>
    <row r="189" spans="1:24" x14ac:dyDescent="0.35">
      <c r="A189" s="34">
        <v>162</v>
      </c>
      <c r="B189" s="2">
        <v>0.32503060415855456</v>
      </c>
      <c r="C189" s="91">
        <f t="shared" si="9"/>
        <v>25.463228399211062</v>
      </c>
      <c r="D189" s="13">
        <v>116389.68519763317</v>
      </c>
      <c r="E189" s="13">
        <v>118389.68519763317</v>
      </c>
      <c r="F189" s="13">
        <v>120389.68519763317</v>
      </c>
      <c r="G189" s="13">
        <v>122389.68519763317</v>
      </c>
      <c r="H189" s="13">
        <v>124389.68519763317</v>
      </c>
      <c r="I189" s="13">
        <v>126389.68519763317</v>
      </c>
      <c r="J189" s="13">
        <v>125705.82719368848</v>
      </c>
      <c r="K189" s="13">
        <v>122705.82719368848</v>
      </c>
      <c r="L189" s="13">
        <v>119705.82719368848</v>
      </c>
      <c r="M189" s="13">
        <v>116705.82719368848</v>
      </c>
      <c r="N189" s="13">
        <v>113705.82719368848</v>
      </c>
      <c r="O189" s="13">
        <v>110705.82719368848</v>
      </c>
      <c r="P189" s="13">
        <v>107705.82719368848</v>
      </c>
      <c r="Q189" s="13">
        <v>104705.82719368848</v>
      </c>
      <c r="R189" s="13">
        <v>101705.82719368848</v>
      </c>
      <c r="S189" s="13">
        <v>98705.827193688485</v>
      </c>
      <c r="T189" s="13">
        <v>95705.827193688485</v>
      </c>
      <c r="U189" s="13">
        <v>92705.827193688485</v>
      </c>
      <c r="V189" s="13">
        <v>89705.827193688485</v>
      </c>
      <c r="W189" s="13">
        <v>86705.827193688485</v>
      </c>
      <c r="X189" s="13">
        <v>83705.827193688485</v>
      </c>
    </row>
    <row r="190" spans="1:24" x14ac:dyDescent="0.35">
      <c r="A190" s="34">
        <v>163</v>
      </c>
      <c r="B190" s="2">
        <v>0.22420083434602456</v>
      </c>
      <c r="C190" s="91">
        <f t="shared" si="9"/>
        <v>22.419176224109655</v>
      </c>
      <c r="D190" s="13">
        <v>107257.52867232898</v>
      </c>
      <c r="E190" s="13">
        <v>109257.52867232898</v>
      </c>
      <c r="F190" s="13">
        <v>111257.52867232898</v>
      </c>
      <c r="G190" s="13">
        <v>110353.40979287727</v>
      </c>
      <c r="H190" s="13">
        <v>107353.40979287727</v>
      </c>
      <c r="I190" s="13">
        <v>104353.40979287727</v>
      </c>
      <c r="J190" s="13">
        <v>101353.40979287727</v>
      </c>
      <c r="K190" s="13">
        <v>98353.409792877268</v>
      </c>
      <c r="L190" s="13">
        <v>95353.409792877268</v>
      </c>
      <c r="M190" s="13">
        <v>92353.409792877268</v>
      </c>
      <c r="N190" s="13">
        <v>89353.409792877268</v>
      </c>
      <c r="O190" s="13">
        <v>86353.409792877268</v>
      </c>
      <c r="P190" s="13">
        <v>83353.409792877268</v>
      </c>
      <c r="Q190" s="13">
        <v>80353.409792877268</v>
      </c>
      <c r="R190" s="13">
        <v>77353.409792877268</v>
      </c>
      <c r="S190" s="13">
        <v>74353.409792877268</v>
      </c>
      <c r="T190" s="13">
        <v>71353.409792877268</v>
      </c>
      <c r="U190" s="13">
        <v>68353.409792877268</v>
      </c>
      <c r="V190" s="13">
        <v>65353.409792877268</v>
      </c>
      <c r="W190" s="13">
        <v>62353.409792877268</v>
      </c>
      <c r="X190" s="13">
        <v>59353.409792877268</v>
      </c>
    </row>
    <row r="191" spans="1:24" x14ac:dyDescent="0.35">
      <c r="A191" s="34">
        <v>164</v>
      </c>
      <c r="B191" s="2">
        <v>0.32247302893145835</v>
      </c>
      <c r="C191" s="91">
        <f t="shared" si="9"/>
        <v>25.392055136273644</v>
      </c>
      <c r="D191" s="13">
        <v>116176.1654088209</v>
      </c>
      <c r="E191" s="13">
        <v>118176.1654088209</v>
      </c>
      <c r="F191" s="13">
        <v>120176.1654088209</v>
      </c>
      <c r="G191" s="13">
        <v>122176.1654088209</v>
      </c>
      <c r="H191" s="13">
        <v>124176.1654088209</v>
      </c>
      <c r="I191" s="13">
        <v>126176.1654088209</v>
      </c>
      <c r="J191" s="13">
        <v>125136.44109018915</v>
      </c>
      <c r="K191" s="13">
        <v>122136.44109018915</v>
      </c>
      <c r="L191" s="13">
        <v>119136.44109018915</v>
      </c>
      <c r="M191" s="13">
        <v>116136.44109018915</v>
      </c>
      <c r="N191" s="13">
        <v>113136.44109018915</v>
      </c>
      <c r="O191" s="13">
        <v>110136.44109018915</v>
      </c>
      <c r="P191" s="13">
        <v>107136.44109018915</v>
      </c>
      <c r="Q191" s="13">
        <v>104136.44109018915</v>
      </c>
      <c r="R191" s="13">
        <v>101136.44109018915</v>
      </c>
      <c r="S191" s="13">
        <v>98136.441090189153</v>
      </c>
      <c r="T191" s="13">
        <v>95136.441090189153</v>
      </c>
      <c r="U191" s="13">
        <v>92136.441090189153</v>
      </c>
      <c r="V191" s="13">
        <v>89136.441090189153</v>
      </c>
      <c r="W191" s="13">
        <v>86136.441090189153</v>
      </c>
      <c r="X191" s="13">
        <v>83136.441090189153</v>
      </c>
    </row>
    <row r="192" spans="1:24" x14ac:dyDescent="0.35">
      <c r="A192" s="34">
        <v>165</v>
      </c>
      <c r="B192" s="2">
        <v>0.82714221902514218</v>
      </c>
      <c r="C192" s="91">
        <f t="shared" si="9"/>
        <v>39.429322420290021</v>
      </c>
      <c r="D192" s="13">
        <v>158287.96726087003</v>
      </c>
      <c r="E192" s="13">
        <v>160287.96726087003</v>
      </c>
      <c r="F192" s="13">
        <v>162287.96726087003</v>
      </c>
      <c r="G192" s="13">
        <v>164287.96726087003</v>
      </c>
      <c r="H192" s="13">
        <v>166287.96726087003</v>
      </c>
      <c r="I192" s="13">
        <v>168287.96726087003</v>
      </c>
      <c r="J192" s="13">
        <v>170287.96726087003</v>
      </c>
      <c r="K192" s="13">
        <v>172287.96726087003</v>
      </c>
      <c r="L192" s="13">
        <v>174287.96726087003</v>
      </c>
      <c r="M192" s="13">
        <v>176287.96726087003</v>
      </c>
      <c r="N192" s="13">
        <v>178287.96726087003</v>
      </c>
      <c r="O192" s="13">
        <v>180287.96726087003</v>
      </c>
      <c r="P192" s="13">
        <v>182287.96726087003</v>
      </c>
      <c r="Q192" s="13">
        <v>184287.96726087003</v>
      </c>
      <c r="R192" s="13">
        <v>186287.96726087003</v>
      </c>
      <c r="S192" s="13">
        <v>188287.96726087003</v>
      </c>
      <c r="T192" s="13">
        <v>190287.96726087003</v>
      </c>
      <c r="U192" s="13">
        <v>192287.96726087003</v>
      </c>
      <c r="V192" s="13">
        <v>194287.96726087003</v>
      </c>
      <c r="W192" s="13">
        <v>196287.96726087003</v>
      </c>
      <c r="X192" s="13">
        <v>195434.57936232013</v>
      </c>
    </row>
    <row r="193" spans="1:24" x14ac:dyDescent="0.35">
      <c r="A193" s="34">
        <v>166</v>
      </c>
      <c r="B193" s="2">
        <v>0.14299112967596683</v>
      </c>
      <c r="C193" s="91">
        <f t="shared" si="9"/>
        <v>19.330230825712597</v>
      </c>
      <c r="D193" s="13">
        <v>94641.84660570079</v>
      </c>
      <c r="E193" s="13">
        <v>91641.84660570079</v>
      </c>
      <c r="F193" s="13">
        <v>88641.84660570079</v>
      </c>
      <c r="G193" s="13">
        <v>85641.84660570079</v>
      </c>
      <c r="H193" s="13">
        <v>82641.84660570079</v>
      </c>
      <c r="I193" s="13">
        <v>79641.84660570079</v>
      </c>
      <c r="J193" s="13">
        <v>76641.84660570079</v>
      </c>
      <c r="K193" s="13">
        <v>73641.84660570079</v>
      </c>
      <c r="L193" s="13">
        <v>70641.84660570079</v>
      </c>
      <c r="M193" s="13">
        <v>67641.84660570079</v>
      </c>
      <c r="N193" s="13">
        <v>64641.84660570079</v>
      </c>
      <c r="O193" s="13">
        <v>61641.84660570079</v>
      </c>
      <c r="P193" s="13">
        <v>58641.84660570079</v>
      </c>
      <c r="Q193" s="13">
        <v>55641.84660570079</v>
      </c>
      <c r="R193" s="13">
        <v>52641.84660570079</v>
      </c>
      <c r="S193" s="13">
        <v>49641.84660570079</v>
      </c>
      <c r="T193" s="13">
        <v>46641.84660570079</v>
      </c>
      <c r="U193" s="13">
        <v>43641.84660570079</v>
      </c>
      <c r="V193" s="13">
        <v>40641.84660570079</v>
      </c>
      <c r="W193" s="13">
        <v>37641.84660570079</v>
      </c>
      <c r="X193" s="13">
        <v>34641.84660570079</v>
      </c>
    </row>
    <row r="194" spans="1:24" x14ac:dyDescent="0.35">
      <c r="A194" s="34">
        <v>167</v>
      </c>
      <c r="B194" s="2">
        <v>0.55957845213228863</v>
      </c>
      <c r="C194" s="91">
        <f t="shared" si="9"/>
        <v>31.499005272464366</v>
      </c>
      <c r="D194" s="13">
        <v>134497.01581739308</v>
      </c>
      <c r="E194" s="13">
        <v>136497.01581739308</v>
      </c>
      <c r="F194" s="13">
        <v>138497.01581739308</v>
      </c>
      <c r="G194" s="13">
        <v>140497.01581739308</v>
      </c>
      <c r="H194" s="13">
        <v>142497.01581739308</v>
      </c>
      <c r="I194" s="13">
        <v>144497.01581739308</v>
      </c>
      <c r="J194" s="13">
        <v>146497.01581739308</v>
      </c>
      <c r="K194" s="13">
        <v>148497.01581739308</v>
      </c>
      <c r="L194" s="13">
        <v>150497.01581739308</v>
      </c>
      <c r="M194" s="13">
        <v>152497.01581739308</v>
      </c>
      <c r="N194" s="13">
        <v>154497.01581739308</v>
      </c>
      <c r="O194" s="13">
        <v>156497.01581739308</v>
      </c>
      <c r="P194" s="13">
        <v>155992.04217971489</v>
      </c>
      <c r="Q194" s="13">
        <v>152992.04217971489</v>
      </c>
      <c r="R194" s="13">
        <v>149992.04217971489</v>
      </c>
      <c r="S194" s="13">
        <v>146992.04217971489</v>
      </c>
      <c r="T194" s="13">
        <v>143992.04217971489</v>
      </c>
      <c r="U194" s="13">
        <v>140992.04217971489</v>
      </c>
      <c r="V194" s="13">
        <v>137992.04217971489</v>
      </c>
      <c r="W194" s="13">
        <v>134992.04217971489</v>
      </c>
      <c r="X194" s="13">
        <v>131992.04217971489</v>
      </c>
    </row>
    <row r="195" spans="1:24" x14ac:dyDescent="0.35">
      <c r="A195" s="34">
        <v>168</v>
      </c>
      <c r="B195" s="2">
        <v>0.66772883574752961</v>
      </c>
      <c r="C195" s="91">
        <f t="shared" si="9"/>
        <v>34.336504017713764</v>
      </c>
      <c r="D195" s="13">
        <v>143009.51205314125</v>
      </c>
      <c r="E195" s="13">
        <v>145009.51205314125</v>
      </c>
      <c r="F195" s="13">
        <v>147009.51205314125</v>
      </c>
      <c r="G195" s="13">
        <v>149009.51205314125</v>
      </c>
      <c r="H195" s="13">
        <v>151009.51205314125</v>
      </c>
      <c r="I195" s="13">
        <v>153009.51205314125</v>
      </c>
      <c r="J195" s="13">
        <v>155009.51205314125</v>
      </c>
      <c r="K195" s="13">
        <v>157009.51205314125</v>
      </c>
      <c r="L195" s="13">
        <v>159009.51205314125</v>
      </c>
      <c r="M195" s="13">
        <v>161009.51205314125</v>
      </c>
      <c r="N195" s="13">
        <v>163009.51205314125</v>
      </c>
      <c r="O195" s="13">
        <v>165009.51205314125</v>
      </c>
      <c r="P195" s="13">
        <v>167009.51205314125</v>
      </c>
      <c r="Q195" s="13">
        <v>169009.51205314125</v>
      </c>
      <c r="R195" s="13">
        <v>171009.51205314125</v>
      </c>
      <c r="S195" s="13">
        <v>169692.03214171005</v>
      </c>
      <c r="T195" s="13">
        <v>166692.03214171005</v>
      </c>
      <c r="U195" s="13">
        <v>163692.03214171005</v>
      </c>
      <c r="V195" s="13">
        <v>160692.03214171005</v>
      </c>
      <c r="W195" s="13">
        <v>157692.03214171005</v>
      </c>
      <c r="X195" s="13">
        <v>154692.03214171005</v>
      </c>
    </row>
    <row r="196" spans="1:24" x14ac:dyDescent="0.35">
      <c r="A196" s="34">
        <v>169</v>
      </c>
      <c r="B196" s="2">
        <v>0.90709594834231189</v>
      </c>
      <c r="C196" s="91">
        <f t="shared" si="9"/>
        <v>43.230820199813145</v>
      </c>
      <c r="D196" s="13">
        <v>169692.46059943945</v>
      </c>
      <c r="E196" s="13">
        <v>171692.46059943945</v>
      </c>
      <c r="F196" s="13">
        <v>173692.46059943945</v>
      </c>
      <c r="G196" s="13">
        <v>175692.46059943945</v>
      </c>
      <c r="H196" s="13">
        <v>177692.46059943945</v>
      </c>
      <c r="I196" s="13">
        <v>179692.46059943945</v>
      </c>
      <c r="J196" s="13">
        <v>181692.46059943945</v>
      </c>
      <c r="K196" s="13">
        <v>183692.46059943945</v>
      </c>
      <c r="L196" s="13">
        <v>185692.46059943945</v>
      </c>
      <c r="M196" s="13">
        <v>187692.46059943945</v>
      </c>
      <c r="N196" s="13">
        <v>189692.46059943945</v>
      </c>
      <c r="O196" s="13">
        <v>191692.46059943945</v>
      </c>
      <c r="P196" s="13">
        <v>193692.46059943945</v>
      </c>
      <c r="Q196" s="13">
        <v>195692.46059943945</v>
      </c>
      <c r="R196" s="13">
        <v>197692.46059943945</v>
      </c>
      <c r="S196" s="13">
        <v>199692.46059943945</v>
      </c>
      <c r="T196" s="13">
        <v>201692.46059943945</v>
      </c>
      <c r="U196" s="13">
        <v>203692.46059943945</v>
      </c>
      <c r="V196" s="13">
        <v>205692.46059943945</v>
      </c>
      <c r="W196" s="13">
        <v>207692.46059943945</v>
      </c>
      <c r="X196" s="13">
        <v>209692.46059943945</v>
      </c>
    </row>
    <row r="197" spans="1:24" x14ac:dyDescent="0.35">
      <c r="A197" s="34">
        <v>170</v>
      </c>
      <c r="B197" s="2">
        <v>0.45280909774642242</v>
      </c>
      <c r="C197" s="91">
        <f t="shared" si="9"/>
        <v>28.814327279152817</v>
      </c>
      <c r="D197" s="13">
        <v>126442.98183745844</v>
      </c>
      <c r="E197" s="13">
        <v>128442.98183745844</v>
      </c>
      <c r="F197" s="13">
        <v>130442.98183745844</v>
      </c>
      <c r="G197" s="13">
        <v>132442.98183745844</v>
      </c>
      <c r="H197" s="13">
        <v>134442.98183745844</v>
      </c>
      <c r="I197" s="13">
        <v>136442.98183745844</v>
      </c>
      <c r="J197" s="13">
        <v>138442.98183745844</v>
      </c>
      <c r="K197" s="13">
        <v>140442.98183745856</v>
      </c>
      <c r="L197" s="13">
        <v>142442.98183745856</v>
      </c>
      <c r="M197" s="13">
        <v>143514.61823322263</v>
      </c>
      <c r="N197" s="13">
        <v>140514.61823322263</v>
      </c>
      <c r="O197" s="13">
        <v>137514.61823322263</v>
      </c>
      <c r="P197" s="13">
        <v>134514.61823322263</v>
      </c>
      <c r="Q197" s="13">
        <v>131514.61823322263</v>
      </c>
      <c r="R197" s="13">
        <v>128514.61823322263</v>
      </c>
      <c r="S197" s="13">
        <v>125514.61823322263</v>
      </c>
      <c r="T197" s="13">
        <v>122514.61823322263</v>
      </c>
      <c r="U197" s="13">
        <v>119514.61823322251</v>
      </c>
      <c r="V197" s="13">
        <v>116514.61823322251</v>
      </c>
      <c r="W197" s="13">
        <v>113514.61823322251</v>
      </c>
      <c r="X197" s="13">
        <v>110514.61823322251</v>
      </c>
    </row>
    <row r="198" spans="1:24" x14ac:dyDescent="0.35">
      <c r="A198" s="34">
        <v>171</v>
      </c>
      <c r="B198" s="2">
        <v>0.34559427135446419</v>
      </c>
      <c r="C198" s="91">
        <f t="shared" si="9"/>
        <v>26.027573618946484</v>
      </c>
      <c r="D198" s="13">
        <v>118082.72085683956</v>
      </c>
      <c r="E198" s="13">
        <v>120082.72085683944</v>
      </c>
      <c r="F198" s="13">
        <v>122082.72085683944</v>
      </c>
      <c r="G198" s="13">
        <v>124082.72085683944</v>
      </c>
      <c r="H198" s="13">
        <v>126082.72085683944</v>
      </c>
      <c r="I198" s="13">
        <v>128082.7208568395</v>
      </c>
      <c r="J198" s="13">
        <v>130082.7208568395</v>
      </c>
      <c r="K198" s="13">
        <v>127220.58895157196</v>
      </c>
      <c r="L198" s="13">
        <v>124220.58895157196</v>
      </c>
      <c r="M198" s="13">
        <v>121220.58895157196</v>
      </c>
      <c r="N198" s="13">
        <v>118220.58895157184</v>
      </c>
      <c r="O198" s="13">
        <v>115220.58895157184</v>
      </c>
      <c r="P198" s="13">
        <v>112220.58895157184</v>
      </c>
      <c r="Q198" s="13">
        <v>109220.58895157184</v>
      </c>
      <c r="R198" s="13">
        <v>106220.58895157184</v>
      </c>
      <c r="S198" s="13">
        <v>103220.58895157184</v>
      </c>
      <c r="T198" s="13">
        <v>100220.58895157184</v>
      </c>
      <c r="U198" s="13">
        <v>97220.588951571845</v>
      </c>
      <c r="V198" s="13">
        <v>94220.588951571845</v>
      </c>
      <c r="W198" s="13">
        <v>91220.588951571845</v>
      </c>
      <c r="X198" s="13">
        <v>88220.588951571845</v>
      </c>
    </row>
    <row r="199" spans="1:24" x14ac:dyDescent="0.35">
      <c r="A199" s="34">
        <v>172</v>
      </c>
      <c r="B199" s="2">
        <v>0.56753131033051674</v>
      </c>
      <c r="C199" s="91">
        <f t="shared" si="9"/>
        <v>31.700925157234344</v>
      </c>
      <c r="D199" s="13">
        <v>135102.77547170303</v>
      </c>
      <c r="E199" s="13">
        <v>137102.77547170303</v>
      </c>
      <c r="F199" s="13">
        <v>139102.77547170303</v>
      </c>
      <c r="G199" s="13">
        <v>141102.77547170303</v>
      </c>
      <c r="H199" s="13">
        <v>143102.77547170303</v>
      </c>
      <c r="I199" s="13">
        <v>145102.77547170303</v>
      </c>
      <c r="J199" s="13">
        <v>147102.77547170303</v>
      </c>
      <c r="K199" s="13">
        <v>149102.77547170303</v>
      </c>
      <c r="L199" s="13">
        <v>151102.77547170303</v>
      </c>
      <c r="M199" s="13">
        <v>153102.77547170303</v>
      </c>
      <c r="N199" s="13">
        <v>155102.77547170303</v>
      </c>
      <c r="O199" s="13">
        <v>157102.77547170303</v>
      </c>
      <c r="P199" s="13">
        <v>157607.40125787468</v>
      </c>
      <c r="Q199" s="13">
        <v>154607.40125787468</v>
      </c>
      <c r="R199" s="13">
        <v>151607.40125787468</v>
      </c>
      <c r="S199" s="13">
        <v>148607.40125787468</v>
      </c>
      <c r="T199" s="13">
        <v>145607.40125787468</v>
      </c>
      <c r="U199" s="13">
        <v>142607.40125787468</v>
      </c>
      <c r="V199" s="13">
        <v>139607.40125787468</v>
      </c>
      <c r="W199" s="13">
        <v>136607.40125787468</v>
      </c>
      <c r="X199" s="13">
        <v>133607.40125787468</v>
      </c>
    </row>
    <row r="200" spans="1:24" x14ac:dyDescent="0.35">
      <c r="A200" s="34">
        <v>173</v>
      </c>
      <c r="B200" s="2">
        <v>0.62594133279733999</v>
      </c>
      <c r="C200" s="91">
        <f t="shared" si="9"/>
        <v>33.211227977124949</v>
      </c>
      <c r="D200" s="13">
        <v>139633.68393137469</v>
      </c>
      <c r="E200" s="13">
        <v>141633.68393137469</v>
      </c>
      <c r="F200" s="13">
        <v>143633.68393137481</v>
      </c>
      <c r="G200" s="13">
        <v>145633.68393137481</v>
      </c>
      <c r="H200" s="13">
        <v>147633.68393137481</v>
      </c>
      <c r="I200" s="13">
        <v>149633.68393137481</v>
      </c>
      <c r="J200" s="13">
        <v>151633.68393137481</v>
      </c>
      <c r="K200" s="13">
        <v>153633.68393137481</v>
      </c>
      <c r="L200" s="13">
        <v>155633.68393137492</v>
      </c>
      <c r="M200" s="13">
        <v>157633.68393137492</v>
      </c>
      <c r="N200" s="13">
        <v>159633.68393137492</v>
      </c>
      <c r="O200" s="13">
        <v>161633.68393137492</v>
      </c>
      <c r="P200" s="13">
        <v>163633.68393137492</v>
      </c>
      <c r="Q200" s="13">
        <v>165633.68393137492</v>
      </c>
      <c r="R200" s="13">
        <v>163689.82381699968</v>
      </c>
      <c r="S200" s="13">
        <v>160689.82381699968</v>
      </c>
      <c r="T200" s="13">
        <v>157689.82381699968</v>
      </c>
      <c r="U200" s="13">
        <v>154689.82381699968</v>
      </c>
      <c r="V200" s="13">
        <v>151689.82381699968</v>
      </c>
      <c r="W200" s="13">
        <v>148689.82381699968</v>
      </c>
      <c r="X200" s="13">
        <v>145689.82381699968</v>
      </c>
    </row>
    <row r="201" spans="1:24" x14ac:dyDescent="0.35">
      <c r="A201" s="34">
        <v>174</v>
      </c>
      <c r="B201" s="2">
        <v>0.22582736803177705</v>
      </c>
      <c r="C201" s="91">
        <f t="shared" si="9"/>
        <v>22.473408045261731</v>
      </c>
      <c r="D201" s="13">
        <v>107420.22413578519</v>
      </c>
      <c r="E201" s="13">
        <v>109420.22413578519</v>
      </c>
      <c r="F201" s="13">
        <v>111420.22413578519</v>
      </c>
      <c r="G201" s="13">
        <v>110787.26436209388</v>
      </c>
      <c r="H201" s="13">
        <v>107787.26436209388</v>
      </c>
      <c r="I201" s="13">
        <v>104787.26436209388</v>
      </c>
      <c r="J201" s="13">
        <v>101787.26436209388</v>
      </c>
      <c r="K201" s="13">
        <v>98787.264362093876</v>
      </c>
      <c r="L201" s="13">
        <v>95787.264362093876</v>
      </c>
      <c r="M201" s="13">
        <v>92787.264362093876</v>
      </c>
      <c r="N201" s="13">
        <v>89787.264362093876</v>
      </c>
      <c r="O201" s="13">
        <v>86787.26436209376</v>
      </c>
      <c r="P201" s="13">
        <v>83787.26436209376</v>
      </c>
      <c r="Q201" s="13">
        <v>80787.26436209376</v>
      </c>
      <c r="R201" s="13">
        <v>77787.26436209376</v>
      </c>
      <c r="S201" s="13">
        <v>74787.26436209376</v>
      </c>
      <c r="T201" s="13">
        <v>71787.26436209376</v>
      </c>
      <c r="U201" s="13">
        <v>68787.26436209376</v>
      </c>
      <c r="V201" s="13">
        <v>65787.26436209376</v>
      </c>
      <c r="W201" s="13">
        <v>62787.26436209376</v>
      </c>
      <c r="X201" s="13">
        <v>59787.26436209376</v>
      </c>
    </row>
    <row r="202" spans="1:24" x14ac:dyDescent="0.35">
      <c r="A202" s="34">
        <v>175</v>
      </c>
      <c r="B202" s="2">
        <v>0.40437201638238385</v>
      </c>
      <c r="C202" s="91">
        <f t="shared" si="9"/>
        <v>27.579533713385011</v>
      </c>
      <c r="D202" s="13">
        <v>122738.60114015499</v>
      </c>
      <c r="E202" s="13">
        <v>124738.60114015499</v>
      </c>
      <c r="F202" s="13">
        <v>126738.60114015499</v>
      </c>
      <c r="G202" s="13">
        <v>128738.60114015499</v>
      </c>
      <c r="H202" s="13">
        <v>130738.60114015499</v>
      </c>
      <c r="I202" s="13">
        <v>132738.60114015499</v>
      </c>
      <c r="J202" s="13">
        <v>134738.60114015499</v>
      </c>
      <c r="K202" s="13">
        <v>136738.60114015499</v>
      </c>
      <c r="L202" s="13">
        <v>136636.26970708009</v>
      </c>
      <c r="M202" s="13">
        <v>133636.26970708009</v>
      </c>
      <c r="N202" s="13">
        <v>130636.26970708009</v>
      </c>
      <c r="O202" s="13">
        <v>127636.26970708009</v>
      </c>
      <c r="P202" s="13">
        <v>124636.26970708009</v>
      </c>
      <c r="Q202" s="13">
        <v>121636.26970708009</v>
      </c>
      <c r="R202" s="13">
        <v>118636.26970708009</v>
      </c>
      <c r="S202" s="13">
        <v>115636.26970708009</v>
      </c>
      <c r="T202" s="13">
        <v>112636.26970708009</v>
      </c>
      <c r="U202" s="13">
        <v>109636.26970708009</v>
      </c>
      <c r="V202" s="13">
        <v>106636.26970708009</v>
      </c>
      <c r="W202" s="13">
        <v>103636.26970708009</v>
      </c>
      <c r="X202" s="13">
        <v>100636.26970708009</v>
      </c>
    </row>
    <row r="203" spans="1:24" x14ac:dyDescent="0.35">
      <c r="A203" s="34">
        <v>176</v>
      </c>
      <c r="B203" s="2">
        <v>0.59509404371148067</v>
      </c>
      <c r="C203" s="91">
        <f t="shared" si="9"/>
        <v>32.406686834875693</v>
      </c>
      <c r="D203" s="13">
        <v>137220.06050462695</v>
      </c>
      <c r="E203" s="13">
        <v>139220.06050462695</v>
      </c>
      <c r="F203" s="13">
        <v>141220.06050462695</v>
      </c>
      <c r="G203" s="13">
        <v>143220.06050462695</v>
      </c>
      <c r="H203" s="13">
        <v>145220.06050462695</v>
      </c>
      <c r="I203" s="13">
        <v>147220.06050462695</v>
      </c>
      <c r="J203" s="13">
        <v>149220.06050462695</v>
      </c>
      <c r="K203" s="13">
        <v>151220.06050462695</v>
      </c>
      <c r="L203" s="13">
        <v>153220.06050462706</v>
      </c>
      <c r="M203" s="13">
        <v>155220.06050462706</v>
      </c>
      <c r="N203" s="13">
        <v>157220.06050462706</v>
      </c>
      <c r="O203" s="13">
        <v>159220.06050462706</v>
      </c>
      <c r="P203" s="13">
        <v>161220.06050462706</v>
      </c>
      <c r="Q203" s="13">
        <v>160253.49467900558</v>
      </c>
      <c r="R203" s="13">
        <v>157253.49467900558</v>
      </c>
      <c r="S203" s="13">
        <v>154253.49467900558</v>
      </c>
      <c r="T203" s="13">
        <v>151253.49467900558</v>
      </c>
      <c r="U203" s="13">
        <v>148253.49467900558</v>
      </c>
      <c r="V203" s="13">
        <v>145253.49467900558</v>
      </c>
      <c r="W203" s="13">
        <v>142253.49467900558</v>
      </c>
      <c r="X203" s="13">
        <v>139253.49467900558</v>
      </c>
    </row>
    <row r="204" spans="1:24" x14ac:dyDescent="0.35">
      <c r="A204" s="34">
        <v>177</v>
      </c>
      <c r="B204" s="2">
        <v>0.44991028314539339</v>
      </c>
      <c r="C204" s="91">
        <f t="shared" si="9"/>
        <v>28.741119805140308</v>
      </c>
      <c r="D204" s="13">
        <v>126223.35941542103</v>
      </c>
      <c r="E204" s="13">
        <v>128223.35941542103</v>
      </c>
      <c r="F204" s="13">
        <v>130223.35941542103</v>
      </c>
      <c r="G204" s="13">
        <v>132223.35941542091</v>
      </c>
      <c r="H204" s="13">
        <v>134223.35941542091</v>
      </c>
      <c r="I204" s="13">
        <v>136223.35941542091</v>
      </c>
      <c r="J204" s="13">
        <v>138223.35941542091</v>
      </c>
      <c r="K204" s="13">
        <v>140223.35941542091</v>
      </c>
      <c r="L204" s="13">
        <v>142223.35941542091</v>
      </c>
      <c r="M204" s="13">
        <v>142928.95844112255</v>
      </c>
      <c r="N204" s="13">
        <v>139928.95844112255</v>
      </c>
      <c r="O204" s="13">
        <v>136928.95844112244</v>
      </c>
      <c r="P204" s="13">
        <v>133928.95844112244</v>
      </c>
      <c r="Q204" s="13">
        <v>130928.95844112244</v>
      </c>
      <c r="R204" s="13">
        <v>127928.95844112244</v>
      </c>
      <c r="S204" s="13">
        <v>124928.95844112244</v>
      </c>
      <c r="T204" s="13">
        <v>121928.95844112244</v>
      </c>
      <c r="U204" s="13">
        <v>118928.95844112244</v>
      </c>
      <c r="V204" s="13">
        <v>115928.95844112244</v>
      </c>
      <c r="W204" s="13">
        <v>112928.95844112244</v>
      </c>
      <c r="X204" s="13">
        <v>109928.95844112244</v>
      </c>
    </row>
    <row r="205" spans="1:24" x14ac:dyDescent="0.35">
      <c r="A205" s="34">
        <v>178</v>
      </c>
      <c r="B205" s="2">
        <v>0.25680215035275555</v>
      </c>
      <c r="C205" s="91">
        <f t="shared" si="9"/>
        <v>23.467642416430337</v>
      </c>
      <c r="D205" s="13">
        <v>110402.9272492911</v>
      </c>
      <c r="E205" s="13">
        <v>112402.9272492911</v>
      </c>
      <c r="F205" s="13">
        <v>114402.9272492911</v>
      </c>
      <c r="G205" s="13">
        <v>116402.92724929104</v>
      </c>
      <c r="H205" s="13">
        <v>115741.13933144277</v>
      </c>
      <c r="I205" s="13">
        <v>112741.13933144277</v>
      </c>
      <c r="J205" s="13">
        <v>109741.13933144277</v>
      </c>
      <c r="K205" s="13">
        <v>106741.13933144277</v>
      </c>
      <c r="L205" s="13">
        <v>103741.13933144277</v>
      </c>
      <c r="M205" s="13">
        <v>100741.13933144277</v>
      </c>
      <c r="N205" s="13">
        <v>97741.13933144277</v>
      </c>
      <c r="O205" s="13">
        <v>94741.13933144277</v>
      </c>
      <c r="P205" s="13">
        <v>91741.13933144277</v>
      </c>
      <c r="Q205" s="13">
        <v>88741.13933144277</v>
      </c>
      <c r="R205" s="13">
        <v>85741.13933144277</v>
      </c>
      <c r="S205" s="13">
        <v>82741.13933144277</v>
      </c>
      <c r="T205" s="13">
        <v>79741.13933144277</v>
      </c>
      <c r="U205" s="13">
        <v>76741.13933144277</v>
      </c>
      <c r="V205" s="13">
        <v>73741.13933144277</v>
      </c>
      <c r="W205" s="13">
        <v>70741.13933144277</v>
      </c>
      <c r="X205" s="13">
        <v>67741.13933144277</v>
      </c>
    </row>
    <row r="206" spans="1:24" x14ac:dyDescent="0.35">
      <c r="A206" s="34">
        <v>179</v>
      </c>
      <c r="B206" s="2">
        <v>0.13271102273584368</v>
      </c>
      <c r="C206" s="91">
        <f t="shared" si="9"/>
        <v>18.863329394969597</v>
      </c>
      <c r="D206" s="13">
        <v>90906.635159756814</v>
      </c>
      <c r="E206" s="13">
        <v>87906.635159756814</v>
      </c>
      <c r="F206" s="13">
        <v>84906.635159756755</v>
      </c>
      <c r="G206" s="13">
        <v>81906.635159756755</v>
      </c>
      <c r="H206" s="13">
        <v>78906.635159756755</v>
      </c>
      <c r="I206" s="13">
        <v>75906.635159756755</v>
      </c>
      <c r="J206" s="13">
        <v>72906.635159756755</v>
      </c>
      <c r="K206" s="13">
        <v>69906.635159756755</v>
      </c>
      <c r="L206" s="13">
        <v>66906.635159756755</v>
      </c>
      <c r="M206" s="13">
        <v>63906.635159756755</v>
      </c>
      <c r="N206" s="13">
        <v>60906.635159756755</v>
      </c>
      <c r="O206" s="13">
        <v>57906.635159756755</v>
      </c>
      <c r="P206" s="13">
        <v>54906.635159756755</v>
      </c>
      <c r="Q206" s="13">
        <v>51906.635159756755</v>
      </c>
      <c r="R206" s="13">
        <v>48906.635159756755</v>
      </c>
      <c r="S206" s="13">
        <v>45906.635159756755</v>
      </c>
      <c r="T206" s="13">
        <v>42906.635159756755</v>
      </c>
      <c r="U206" s="13">
        <v>39906.635159756755</v>
      </c>
      <c r="V206" s="13">
        <v>36906.635159756755</v>
      </c>
      <c r="W206" s="13">
        <v>33906.635159756755</v>
      </c>
      <c r="X206" s="13">
        <v>30906.635159756755</v>
      </c>
    </row>
    <row r="207" spans="1:24" x14ac:dyDescent="0.35">
      <c r="A207" s="34">
        <v>180</v>
      </c>
      <c r="B207" s="2">
        <v>0.21807664709221242</v>
      </c>
      <c r="C207" s="91">
        <f t="shared" si="9"/>
        <v>22.212946335651381</v>
      </c>
      <c r="D207" s="13">
        <v>106638.83900695416</v>
      </c>
      <c r="E207" s="13">
        <v>108638.83900695416</v>
      </c>
      <c r="F207" s="13">
        <v>110638.83900695416</v>
      </c>
      <c r="G207" s="13">
        <v>108703.5706852111</v>
      </c>
      <c r="H207" s="13">
        <v>105703.5706852111</v>
      </c>
      <c r="I207" s="13">
        <v>102703.5706852111</v>
      </c>
      <c r="J207" s="13">
        <v>99703.570685211103</v>
      </c>
      <c r="K207" s="13">
        <v>96703.570685211103</v>
      </c>
      <c r="L207" s="13">
        <v>93703.570685211103</v>
      </c>
      <c r="M207" s="13">
        <v>90703.570685211103</v>
      </c>
      <c r="N207" s="13">
        <v>87703.570685211103</v>
      </c>
      <c r="O207" s="13">
        <v>84703.570685211103</v>
      </c>
      <c r="P207" s="13">
        <v>81703.570685211103</v>
      </c>
      <c r="Q207" s="13">
        <v>78703.570685211103</v>
      </c>
      <c r="R207" s="13">
        <v>75703.570685211103</v>
      </c>
      <c r="S207" s="13">
        <v>72703.570685211103</v>
      </c>
      <c r="T207" s="13">
        <v>69703.570685211103</v>
      </c>
      <c r="U207" s="13">
        <v>66703.570685211103</v>
      </c>
      <c r="V207" s="13">
        <v>63703.570685211103</v>
      </c>
      <c r="W207" s="13">
        <v>60703.570685211103</v>
      </c>
      <c r="X207" s="13">
        <v>57703.570685211103</v>
      </c>
    </row>
    <row r="208" spans="1:24" x14ac:dyDescent="0.35">
      <c r="A208" s="34">
        <v>181</v>
      </c>
      <c r="B208" s="2">
        <v>0.24934902721042462</v>
      </c>
      <c r="C208" s="91">
        <f t="shared" si="9"/>
        <v>23.234603082919893</v>
      </c>
      <c r="D208" s="13">
        <v>109703.8092487597</v>
      </c>
      <c r="E208" s="13">
        <v>111703.8092487597</v>
      </c>
      <c r="F208" s="13">
        <v>113703.8092487597</v>
      </c>
      <c r="G208" s="13">
        <v>115703.8092487597</v>
      </c>
      <c r="H208" s="13">
        <v>113876.82466335921</v>
      </c>
      <c r="I208" s="13">
        <v>110876.82466335921</v>
      </c>
      <c r="J208" s="13">
        <v>107876.82466335921</v>
      </c>
      <c r="K208" s="13">
        <v>104876.82466335921</v>
      </c>
      <c r="L208" s="13">
        <v>101876.82466335921</v>
      </c>
      <c r="M208" s="13">
        <v>98876.824663359206</v>
      </c>
      <c r="N208" s="13">
        <v>95876.824663359206</v>
      </c>
      <c r="O208" s="13">
        <v>92876.824663359206</v>
      </c>
      <c r="P208" s="13">
        <v>89876.824663359206</v>
      </c>
      <c r="Q208" s="13">
        <v>86876.824663359206</v>
      </c>
      <c r="R208" s="13">
        <v>83876.824663359206</v>
      </c>
      <c r="S208" s="13">
        <v>80876.824663359206</v>
      </c>
      <c r="T208" s="13">
        <v>77876.824663359206</v>
      </c>
      <c r="U208" s="13">
        <v>74876.824663359206</v>
      </c>
      <c r="V208" s="13">
        <v>71876.824663359206</v>
      </c>
      <c r="W208" s="13">
        <v>68876.824663359206</v>
      </c>
      <c r="X208" s="13">
        <v>65876.824663359206</v>
      </c>
    </row>
    <row r="209" spans="1:24" x14ac:dyDescent="0.35">
      <c r="A209" s="34">
        <v>182</v>
      </c>
      <c r="B209" s="2">
        <v>0.44695351864737309</v>
      </c>
      <c r="C209" s="91">
        <f t="shared" si="9"/>
        <v>28.666379251126326</v>
      </c>
      <c r="D209" s="13">
        <v>125999.13775337895</v>
      </c>
      <c r="E209" s="13">
        <v>127999.13775337895</v>
      </c>
      <c r="F209" s="13">
        <v>129999.13775337895</v>
      </c>
      <c r="G209" s="13">
        <v>131999.13775337895</v>
      </c>
      <c r="H209" s="13">
        <v>133999.13775337895</v>
      </c>
      <c r="I209" s="13">
        <v>135999.13775337895</v>
      </c>
      <c r="J209" s="13">
        <v>137999.13775337895</v>
      </c>
      <c r="K209" s="13">
        <v>139999.13775337895</v>
      </c>
      <c r="L209" s="13">
        <v>141999.13775337895</v>
      </c>
      <c r="M209" s="13">
        <v>142331.03400901065</v>
      </c>
      <c r="N209" s="13">
        <v>139331.03400901065</v>
      </c>
      <c r="O209" s="13">
        <v>136331.03400901065</v>
      </c>
      <c r="P209" s="13">
        <v>133331.03400901065</v>
      </c>
      <c r="Q209" s="13">
        <v>130331.03400901065</v>
      </c>
      <c r="R209" s="13">
        <v>127331.03400901065</v>
      </c>
      <c r="S209" s="13">
        <v>124331.03400901065</v>
      </c>
      <c r="T209" s="13">
        <v>121331.03400901065</v>
      </c>
      <c r="U209" s="13">
        <v>118331.03400901053</v>
      </c>
      <c r="V209" s="13">
        <v>115331.03400901053</v>
      </c>
      <c r="W209" s="13">
        <v>112331.03400901053</v>
      </c>
      <c r="X209" s="13">
        <v>109331.03400901053</v>
      </c>
    </row>
    <row r="210" spans="1:24" x14ac:dyDescent="0.35">
      <c r="A210" s="34">
        <v>183</v>
      </c>
      <c r="B210" s="2">
        <v>0.43719152781355552</v>
      </c>
      <c r="C210" s="91">
        <f t="shared" si="9"/>
        <v>28.419064151958825</v>
      </c>
      <c r="D210" s="13">
        <v>125257.19245587639</v>
      </c>
      <c r="E210" s="13">
        <v>127257.19245587639</v>
      </c>
      <c r="F210" s="13">
        <v>129257.19245587639</v>
      </c>
      <c r="G210" s="13">
        <v>131257.19245587639</v>
      </c>
      <c r="H210" s="13">
        <v>133257.19245587639</v>
      </c>
      <c r="I210" s="13">
        <v>135257.19245587639</v>
      </c>
      <c r="J210" s="13">
        <v>137257.19245587639</v>
      </c>
      <c r="K210" s="13">
        <v>139257.19245587639</v>
      </c>
      <c r="L210" s="13">
        <v>141257.19245587639</v>
      </c>
      <c r="M210" s="13">
        <v>140352.51321567059</v>
      </c>
      <c r="N210" s="13">
        <v>137352.51321567059</v>
      </c>
      <c r="O210" s="13">
        <v>134352.51321567059</v>
      </c>
      <c r="P210" s="13">
        <v>131352.51321567059</v>
      </c>
      <c r="Q210" s="13">
        <v>128352.51321567059</v>
      </c>
      <c r="R210" s="13">
        <v>125352.51321567059</v>
      </c>
      <c r="S210" s="13">
        <v>122352.51321567059</v>
      </c>
      <c r="T210" s="13">
        <v>119352.51321567059</v>
      </c>
      <c r="U210" s="13">
        <v>116352.51321567059</v>
      </c>
      <c r="V210" s="13">
        <v>113352.51321567059</v>
      </c>
      <c r="W210" s="13">
        <v>110352.51321567059</v>
      </c>
      <c r="X210" s="13">
        <v>107352.51321567059</v>
      </c>
    </row>
    <row r="211" spans="1:24" x14ac:dyDescent="0.35">
      <c r="A211" s="34">
        <v>184</v>
      </c>
      <c r="B211" s="2">
        <v>0.32303649765429299</v>
      </c>
      <c r="C211" s="91">
        <f t="shared" si="9"/>
        <v>25.407755511472793</v>
      </c>
      <c r="D211" s="13">
        <v>116223.26653441839</v>
      </c>
      <c r="E211" s="13">
        <v>118223.26653441839</v>
      </c>
      <c r="F211" s="13">
        <v>120223.26653441839</v>
      </c>
      <c r="G211" s="13">
        <v>122223.26653441839</v>
      </c>
      <c r="H211" s="13">
        <v>124223.26653441839</v>
      </c>
      <c r="I211" s="13">
        <v>126223.26653441839</v>
      </c>
      <c r="J211" s="13">
        <v>125262.0440917823</v>
      </c>
      <c r="K211" s="13">
        <v>122262.0440917823</v>
      </c>
      <c r="L211" s="13">
        <v>119262.0440917823</v>
      </c>
      <c r="M211" s="13">
        <v>116262.0440917823</v>
      </c>
      <c r="N211" s="13">
        <v>113262.0440917823</v>
      </c>
      <c r="O211" s="13">
        <v>110262.0440917823</v>
      </c>
      <c r="P211" s="13">
        <v>107262.0440917823</v>
      </c>
      <c r="Q211" s="13">
        <v>104262.0440917823</v>
      </c>
      <c r="R211" s="13">
        <v>101262.0440917823</v>
      </c>
      <c r="S211" s="13">
        <v>98262.0440917823</v>
      </c>
      <c r="T211" s="13">
        <v>95262.0440917823</v>
      </c>
      <c r="U211" s="13">
        <v>92262.0440917823</v>
      </c>
      <c r="V211" s="13">
        <v>89262.0440917823</v>
      </c>
      <c r="W211" s="13">
        <v>86262.0440917823</v>
      </c>
      <c r="X211" s="13">
        <v>83262.0440917823</v>
      </c>
    </row>
    <row r="212" spans="1:24" x14ac:dyDescent="0.35">
      <c r="A212" s="34">
        <v>185</v>
      </c>
      <c r="B212" s="2">
        <v>0.99543266701354327</v>
      </c>
      <c r="C212" s="91">
        <f t="shared" si="9"/>
        <v>56.069726370055548</v>
      </c>
      <c r="D212" s="13">
        <v>208209.17911016662</v>
      </c>
      <c r="E212" s="13">
        <v>210209.17911016662</v>
      </c>
      <c r="F212" s="13">
        <v>212209.17911016662</v>
      </c>
      <c r="G212" s="13">
        <v>214209.17911016662</v>
      </c>
      <c r="H212" s="13">
        <v>216209.17911016662</v>
      </c>
      <c r="I212" s="13">
        <v>218209.17911016662</v>
      </c>
      <c r="J212" s="13">
        <v>220209.17911016662</v>
      </c>
      <c r="K212" s="13">
        <v>222209.17911016662</v>
      </c>
      <c r="L212" s="13">
        <v>224209.17911016662</v>
      </c>
      <c r="M212" s="13">
        <v>226209.17911016662</v>
      </c>
      <c r="N212" s="13">
        <v>228209.17911016662</v>
      </c>
      <c r="O212" s="13">
        <v>230209.17911016662</v>
      </c>
      <c r="P212" s="13">
        <v>232209.17911016662</v>
      </c>
      <c r="Q212" s="13">
        <v>234209.17911016662</v>
      </c>
      <c r="R212" s="13">
        <v>236209.17911016662</v>
      </c>
      <c r="S212" s="13">
        <v>238209.17911016662</v>
      </c>
      <c r="T212" s="13">
        <v>240209.17911016662</v>
      </c>
      <c r="U212" s="13">
        <v>242209.17911016662</v>
      </c>
      <c r="V212" s="13">
        <v>244209.17911016662</v>
      </c>
      <c r="W212" s="13">
        <v>246209.17911016662</v>
      </c>
      <c r="X212" s="13">
        <v>248209.17911016662</v>
      </c>
    </row>
    <row r="213" spans="1:24" x14ac:dyDescent="0.35">
      <c r="A213" s="34">
        <v>186</v>
      </c>
      <c r="B213" s="2">
        <v>0.52854877126190147</v>
      </c>
      <c r="C213" s="91">
        <f t="shared" si="9"/>
        <v>30.71622344404442</v>
      </c>
      <c r="D213" s="13">
        <v>132148.6703321333</v>
      </c>
      <c r="E213" s="13">
        <v>134148.6703321333</v>
      </c>
      <c r="F213" s="13">
        <v>136148.6703321333</v>
      </c>
      <c r="G213" s="13">
        <v>138148.6703321333</v>
      </c>
      <c r="H213" s="13">
        <v>140148.6703321333</v>
      </c>
      <c r="I213" s="13">
        <v>142148.6703321333</v>
      </c>
      <c r="J213" s="13">
        <v>144148.6703321333</v>
      </c>
      <c r="K213" s="13">
        <v>146148.6703321333</v>
      </c>
      <c r="L213" s="13">
        <v>148148.6703321333</v>
      </c>
      <c r="M213" s="13">
        <v>150148.6703321333</v>
      </c>
      <c r="N213" s="13">
        <v>152148.6703321333</v>
      </c>
      <c r="O213" s="13">
        <v>152729.78755235544</v>
      </c>
      <c r="P213" s="13">
        <v>149729.78755235544</v>
      </c>
      <c r="Q213" s="13">
        <v>146729.78755235544</v>
      </c>
      <c r="R213" s="13">
        <v>143729.78755235544</v>
      </c>
      <c r="S213" s="13">
        <v>140729.78755235544</v>
      </c>
      <c r="T213" s="13">
        <v>137729.78755235544</v>
      </c>
      <c r="U213" s="13">
        <v>134729.78755235544</v>
      </c>
      <c r="V213" s="13">
        <v>131729.78755235544</v>
      </c>
      <c r="W213" s="13">
        <v>128729.78755235544</v>
      </c>
      <c r="X213" s="13">
        <v>125729.78755235544</v>
      </c>
    </row>
    <row r="214" spans="1:24" x14ac:dyDescent="0.35">
      <c r="A214" s="34">
        <v>187</v>
      </c>
      <c r="B214" s="2">
        <v>0.58423975041740783</v>
      </c>
      <c r="C214" s="91">
        <f t="shared" si="9"/>
        <v>32.127518792621991</v>
      </c>
      <c r="D214" s="13">
        <v>136382.55637786596</v>
      </c>
      <c r="E214" s="13">
        <v>138382.55637786596</v>
      </c>
      <c r="F214" s="13">
        <v>140382.55637786596</v>
      </c>
      <c r="G214" s="13">
        <v>142382.55637786596</v>
      </c>
      <c r="H214" s="13">
        <v>144382.55637786596</v>
      </c>
      <c r="I214" s="13">
        <v>146382.55637786596</v>
      </c>
      <c r="J214" s="13">
        <v>148382.55637786596</v>
      </c>
      <c r="K214" s="13">
        <v>150382.55637786596</v>
      </c>
      <c r="L214" s="13">
        <v>152382.55637786596</v>
      </c>
      <c r="M214" s="13">
        <v>154382.55637786596</v>
      </c>
      <c r="N214" s="13">
        <v>156382.55637786596</v>
      </c>
      <c r="O214" s="13">
        <v>158382.55637786596</v>
      </c>
      <c r="P214" s="13">
        <v>160382.55637786596</v>
      </c>
      <c r="Q214" s="13">
        <v>158020.15034097596</v>
      </c>
      <c r="R214" s="13">
        <v>155020.15034097596</v>
      </c>
      <c r="S214" s="13">
        <v>152020.15034097596</v>
      </c>
      <c r="T214" s="13">
        <v>149020.15034097596</v>
      </c>
      <c r="U214" s="13">
        <v>146020.15034097596</v>
      </c>
      <c r="V214" s="13">
        <v>143020.15034097596</v>
      </c>
      <c r="W214" s="13">
        <v>140020.15034097596</v>
      </c>
      <c r="X214" s="13">
        <v>137020.15034097596</v>
      </c>
    </row>
    <row r="215" spans="1:24" x14ac:dyDescent="0.35">
      <c r="A215" s="34">
        <v>188</v>
      </c>
      <c r="B215" s="2">
        <v>0.49406322806621517</v>
      </c>
      <c r="C215" s="91">
        <f t="shared" si="9"/>
        <v>29.85118170318691</v>
      </c>
      <c r="D215" s="13">
        <v>129553.54510956071</v>
      </c>
      <c r="E215" s="13">
        <v>131553.54510956071</v>
      </c>
      <c r="F215" s="13">
        <v>133553.54510956071</v>
      </c>
      <c r="G215" s="13">
        <v>135553.54510956071</v>
      </c>
      <c r="H215" s="13">
        <v>137553.54510956071</v>
      </c>
      <c r="I215" s="13">
        <v>139553.54510956071</v>
      </c>
      <c r="J215" s="13">
        <v>141553.54510956071</v>
      </c>
      <c r="K215" s="13">
        <v>143553.54510956071</v>
      </c>
      <c r="L215" s="13">
        <v>145553.54510956071</v>
      </c>
      <c r="M215" s="13">
        <v>147553.54510956071</v>
      </c>
      <c r="N215" s="13">
        <v>148809.45362549531</v>
      </c>
      <c r="O215" s="13">
        <v>145809.45362549531</v>
      </c>
      <c r="P215" s="13">
        <v>142809.45362549531</v>
      </c>
      <c r="Q215" s="13">
        <v>139809.45362549531</v>
      </c>
      <c r="R215" s="13">
        <v>136809.45362549531</v>
      </c>
      <c r="S215" s="13">
        <v>133809.45362549531</v>
      </c>
      <c r="T215" s="13">
        <v>130809.45362549531</v>
      </c>
      <c r="U215" s="13">
        <v>127809.45362549531</v>
      </c>
      <c r="V215" s="13">
        <v>124809.45362549531</v>
      </c>
      <c r="W215" s="13">
        <v>121809.45362549531</v>
      </c>
      <c r="X215" s="13">
        <v>118809.45362549531</v>
      </c>
    </row>
    <row r="216" spans="1:24" x14ac:dyDescent="0.35">
      <c r="A216" s="34">
        <v>189</v>
      </c>
      <c r="B216" s="2">
        <v>6.8469088372082876E-3</v>
      </c>
      <c r="C216" s="91">
        <f t="shared" si="9"/>
        <v>5.3480362114384192</v>
      </c>
      <c r="D216" s="13">
        <v>-17215.710308492649</v>
      </c>
      <c r="E216" s="13">
        <v>-20215.710308492649</v>
      </c>
      <c r="F216" s="13">
        <v>-23215.710308492649</v>
      </c>
      <c r="G216" s="13">
        <v>-26215.710308492649</v>
      </c>
      <c r="H216" s="13">
        <v>-29215.710308492649</v>
      </c>
      <c r="I216" s="13">
        <v>-32215.710308492649</v>
      </c>
      <c r="J216" s="13">
        <v>-35215.710308492649</v>
      </c>
      <c r="K216" s="13">
        <v>-38215.710308492649</v>
      </c>
      <c r="L216" s="13">
        <v>-41215.710308492649</v>
      </c>
      <c r="M216" s="13">
        <v>-44215.710308492649</v>
      </c>
      <c r="N216" s="13">
        <v>-47215.710308492649</v>
      </c>
      <c r="O216" s="13">
        <v>-50215.710308492649</v>
      </c>
      <c r="P216" s="13">
        <v>-53215.710308492649</v>
      </c>
      <c r="Q216" s="13">
        <v>-56215.710308492649</v>
      </c>
      <c r="R216" s="13">
        <v>-59215.710308492649</v>
      </c>
      <c r="S216" s="13">
        <v>-62215.710308492649</v>
      </c>
      <c r="T216" s="13">
        <v>-65215.710308492649</v>
      </c>
      <c r="U216" s="13">
        <v>-68215.710308492649</v>
      </c>
      <c r="V216" s="13">
        <v>-71215.710308492649</v>
      </c>
      <c r="W216" s="13">
        <v>-74215.710308492649</v>
      </c>
      <c r="X216" s="13">
        <v>-77215.710308492649</v>
      </c>
    </row>
    <row r="217" spans="1:24" x14ac:dyDescent="0.35">
      <c r="A217" s="34">
        <v>190</v>
      </c>
      <c r="B217" s="2">
        <v>0.56157219666193736</v>
      </c>
      <c r="C217" s="91">
        <f t="shared" si="9"/>
        <v>31.549565054390875</v>
      </c>
      <c r="D217" s="13">
        <v>134648.69516317267</v>
      </c>
      <c r="E217" s="13">
        <v>136648.69516317267</v>
      </c>
      <c r="F217" s="13">
        <v>138648.69516317267</v>
      </c>
      <c r="G217" s="13">
        <v>140648.69516317267</v>
      </c>
      <c r="H217" s="13">
        <v>142648.69516317267</v>
      </c>
      <c r="I217" s="13">
        <v>144648.69516317267</v>
      </c>
      <c r="J217" s="13">
        <v>146648.69516317267</v>
      </c>
      <c r="K217" s="13">
        <v>148648.69516317267</v>
      </c>
      <c r="L217" s="13">
        <v>150648.69516317267</v>
      </c>
      <c r="M217" s="13">
        <v>152648.69516317267</v>
      </c>
      <c r="N217" s="13">
        <v>154648.69516317267</v>
      </c>
      <c r="O217" s="13">
        <v>156648.69516317267</v>
      </c>
      <c r="P217" s="13">
        <v>156396.52043512708</v>
      </c>
      <c r="Q217" s="13">
        <v>153396.52043512708</v>
      </c>
      <c r="R217" s="13">
        <v>150396.52043512708</v>
      </c>
      <c r="S217" s="13">
        <v>147396.52043512708</v>
      </c>
      <c r="T217" s="13">
        <v>144396.52043512708</v>
      </c>
      <c r="U217" s="13">
        <v>141396.52043512708</v>
      </c>
      <c r="V217" s="13">
        <v>138396.52043512708</v>
      </c>
      <c r="W217" s="13">
        <v>135396.52043512708</v>
      </c>
      <c r="X217" s="13">
        <v>132396.52043512708</v>
      </c>
    </row>
    <row r="218" spans="1:24" x14ac:dyDescent="0.35">
      <c r="A218" s="34">
        <v>191</v>
      </c>
      <c r="B218" s="2">
        <v>0.19310990761315594</v>
      </c>
      <c r="C218" s="91">
        <f t="shared" si="9"/>
        <v>21.335069120321851</v>
      </c>
      <c r="D218" s="13">
        <v>104005.20736096555</v>
      </c>
      <c r="E218" s="13">
        <v>106005.20736096555</v>
      </c>
      <c r="F218" s="13">
        <v>104680.55296257476</v>
      </c>
      <c r="G218" s="13">
        <v>101680.55296257476</v>
      </c>
      <c r="H218" s="13">
        <v>98680.552962574875</v>
      </c>
      <c r="I218" s="13">
        <v>95680.552962574875</v>
      </c>
      <c r="J218" s="13">
        <v>92680.552962574875</v>
      </c>
      <c r="K218" s="13">
        <v>89680.552962574875</v>
      </c>
      <c r="L218" s="13">
        <v>86680.552962574875</v>
      </c>
      <c r="M218" s="13">
        <v>83680.552962574875</v>
      </c>
      <c r="N218" s="13">
        <v>80680.552962574875</v>
      </c>
      <c r="O218" s="13">
        <v>77680.552962574875</v>
      </c>
      <c r="P218" s="13">
        <v>74680.552962574875</v>
      </c>
      <c r="Q218" s="13">
        <v>71680.552962574875</v>
      </c>
      <c r="R218" s="13">
        <v>68680.552962574875</v>
      </c>
      <c r="S218" s="13">
        <v>65680.552962574875</v>
      </c>
      <c r="T218" s="13">
        <v>62680.552962574875</v>
      </c>
      <c r="U218" s="13">
        <v>59680.552962574875</v>
      </c>
      <c r="V218" s="13">
        <v>56680.552962574875</v>
      </c>
      <c r="W218" s="13">
        <v>53680.552962574875</v>
      </c>
      <c r="X218" s="13">
        <v>50680.552962574875</v>
      </c>
    </row>
    <row r="219" spans="1:24" x14ac:dyDescent="0.35">
      <c r="A219" s="34">
        <v>192</v>
      </c>
      <c r="B219" s="2">
        <v>0.28398974702897528</v>
      </c>
      <c r="C219" s="91">
        <f t="shared" si="9"/>
        <v>24.289702757161827</v>
      </c>
      <c r="D219" s="13">
        <v>112869.10827148549</v>
      </c>
      <c r="E219" s="13">
        <v>114869.10827148549</v>
      </c>
      <c r="F219" s="13">
        <v>116869.10827148549</v>
      </c>
      <c r="G219" s="13">
        <v>118869.10827148549</v>
      </c>
      <c r="H219" s="13">
        <v>120869.10827148549</v>
      </c>
      <c r="I219" s="13">
        <v>119317.62205729459</v>
      </c>
      <c r="J219" s="13">
        <v>116317.62205729459</v>
      </c>
      <c r="K219" s="13">
        <v>113317.62205729459</v>
      </c>
      <c r="L219" s="13">
        <v>110317.62205729459</v>
      </c>
      <c r="M219" s="13">
        <v>107317.62205729459</v>
      </c>
      <c r="N219" s="13">
        <v>104317.62205729459</v>
      </c>
      <c r="O219" s="13">
        <v>101317.62205729459</v>
      </c>
      <c r="P219" s="13">
        <v>98317.622057294706</v>
      </c>
      <c r="Q219" s="13">
        <v>95317.622057294706</v>
      </c>
      <c r="R219" s="13">
        <v>92317.622057294706</v>
      </c>
      <c r="S219" s="13">
        <v>89317.622057294706</v>
      </c>
      <c r="T219" s="13">
        <v>86317.622057294706</v>
      </c>
      <c r="U219" s="13">
        <v>83317.622057294706</v>
      </c>
      <c r="V219" s="13">
        <v>80317.622057294706</v>
      </c>
      <c r="W219" s="13">
        <v>77317.622057294706</v>
      </c>
      <c r="X219" s="13">
        <v>74317.622057294706</v>
      </c>
    </row>
    <row r="220" spans="1:24" x14ac:dyDescent="0.35">
      <c r="A220" s="34">
        <v>193</v>
      </c>
      <c r="B220" s="2">
        <v>0.40908938898081859</v>
      </c>
      <c r="C220" s="91">
        <f t="shared" si="9"/>
        <v>27.701119700438493</v>
      </c>
      <c r="D220" s="13">
        <v>123103.35910131549</v>
      </c>
      <c r="E220" s="13">
        <v>125103.35910131549</v>
      </c>
      <c r="F220" s="13">
        <v>127103.35910131549</v>
      </c>
      <c r="G220" s="13">
        <v>129103.35910131549</v>
      </c>
      <c r="H220" s="13">
        <v>131103.35910131549</v>
      </c>
      <c r="I220" s="13">
        <v>133103.35910131549</v>
      </c>
      <c r="J220" s="13">
        <v>135103.35910131549</v>
      </c>
      <c r="K220" s="13">
        <v>137103.35910131549</v>
      </c>
      <c r="L220" s="13">
        <v>137608.95760350791</v>
      </c>
      <c r="M220" s="13">
        <v>134608.95760350791</v>
      </c>
      <c r="N220" s="13">
        <v>131608.95760350791</v>
      </c>
      <c r="O220" s="13">
        <v>128608.95760350791</v>
      </c>
      <c r="P220" s="13">
        <v>125608.95760350791</v>
      </c>
      <c r="Q220" s="13">
        <v>122608.95760350791</v>
      </c>
      <c r="R220" s="13">
        <v>119608.95760350791</v>
      </c>
      <c r="S220" s="13">
        <v>116608.95760350791</v>
      </c>
      <c r="T220" s="13">
        <v>113608.95760350791</v>
      </c>
      <c r="U220" s="13">
        <v>110608.95760350791</v>
      </c>
      <c r="V220" s="13">
        <v>107608.95760350791</v>
      </c>
      <c r="W220" s="13">
        <v>104608.95760350791</v>
      </c>
      <c r="X220" s="13">
        <v>101608.95760350791</v>
      </c>
    </row>
    <row r="221" spans="1:24" x14ac:dyDescent="0.35">
      <c r="A221" s="34">
        <v>194</v>
      </c>
      <c r="B221" s="2">
        <v>0.8643257313730599</v>
      </c>
      <c r="C221" s="91">
        <f t="shared" ref="C221:C284" si="10">_xlfn.NORM.INV(B221,$F$6,$F$8)</f>
        <v>40.99962325322609</v>
      </c>
      <c r="D221" s="13">
        <v>162998.86975967826</v>
      </c>
      <c r="E221" s="13">
        <v>164998.86975967837</v>
      </c>
      <c r="F221" s="13">
        <v>166998.86975967837</v>
      </c>
      <c r="G221" s="13">
        <v>168998.86975967837</v>
      </c>
      <c r="H221" s="13">
        <v>170998.86975967837</v>
      </c>
      <c r="I221" s="13">
        <v>172998.86975967837</v>
      </c>
      <c r="J221" s="13">
        <v>174998.86975967837</v>
      </c>
      <c r="K221" s="13">
        <v>176998.86975967837</v>
      </c>
      <c r="L221" s="13">
        <v>178998.86975967837</v>
      </c>
      <c r="M221" s="13">
        <v>180998.86975967837</v>
      </c>
      <c r="N221" s="13">
        <v>182998.86975967837</v>
      </c>
      <c r="O221" s="13">
        <v>184998.86975967826</v>
      </c>
      <c r="P221" s="13">
        <v>186998.86975967826</v>
      </c>
      <c r="Q221" s="13">
        <v>188998.86975967826</v>
      </c>
      <c r="R221" s="13">
        <v>190998.86975967826</v>
      </c>
      <c r="S221" s="13">
        <v>192998.86975967826</v>
      </c>
      <c r="T221" s="13">
        <v>194998.86975967826</v>
      </c>
      <c r="U221" s="13">
        <v>196998.86975967826</v>
      </c>
      <c r="V221" s="13">
        <v>198998.86975967826</v>
      </c>
      <c r="W221" s="13">
        <v>200998.86975967826</v>
      </c>
      <c r="X221" s="13">
        <v>202998.86975967826</v>
      </c>
    </row>
    <row r="222" spans="1:24" x14ac:dyDescent="0.35">
      <c r="A222" s="34">
        <v>195</v>
      </c>
      <c r="B222" s="2">
        <v>0.84614217722750018</v>
      </c>
      <c r="C222" s="91">
        <f t="shared" si="10"/>
        <v>40.200270216159609</v>
      </c>
      <c r="D222" s="13">
        <v>160600.8106484788</v>
      </c>
      <c r="E222" s="13">
        <v>162600.8106484788</v>
      </c>
      <c r="F222" s="13">
        <v>164600.8106484788</v>
      </c>
      <c r="G222" s="13">
        <v>166600.8106484788</v>
      </c>
      <c r="H222" s="13">
        <v>168600.8106484788</v>
      </c>
      <c r="I222" s="13">
        <v>170600.8106484788</v>
      </c>
      <c r="J222" s="13">
        <v>172600.8106484788</v>
      </c>
      <c r="K222" s="13">
        <v>174600.8106484788</v>
      </c>
      <c r="L222" s="13">
        <v>176600.8106484788</v>
      </c>
      <c r="M222" s="13">
        <v>178600.8106484788</v>
      </c>
      <c r="N222" s="13">
        <v>180600.8106484788</v>
      </c>
      <c r="O222" s="13">
        <v>182600.8106484788</v>
      </c>
      <c r="P222" s="13">
        <v>184600.8106484788</v>
      </c>
      <c r="Q222" s="13">
        <v>186600.8106484788</v>
      </c>
      <c r="R222" s="13">
        <v>188600.8106484788</v>
      </c>
      <c r="S222" s="13">
        <v>190600.81064847892</v>
      </c>
      <c r="T222" s="13">
        <v>192600.81064847892</v>
      </c>
      <c r="U222" s="13">
        <v>194600.81064847892</v>
      </c>
      <c r="V222" s="13">
        <v>196600.81064847892</v>
      </c>
      <c r="W222" s="13">
        <v>198600.81064847892</v>
      </c>
      <c r="X222" s="13">
        <v>200600.81064847892</v>
      </c>
    </row>
    <row r="223" spans="1:24" x14ac:dyDescent="0.35">
      <c r="A223" s="34">
        <v>196</v>
      </c>
      <c r="B223" s="2">
        <v>0.20371635673242883</v>
      </c>
      <c r="C223" s="91">
        <f t="shared" si="10"/>
        <v>21.71580052311252</v>
      </c>
      <c r="D223" s="13">
        <v>105147.40156933753</v>
      </c>
      <c r="E223" s="13">
        <v>107147.40156933753</v>
      </c>
      <c r="F223" s="13">
        <v>107726.40418490011</v>
      </c>
      <c r="G223" s="13">
        <v>104726.40418490011</v>
      </c>
      <c r="H223" s="13">
        <v>101726.40418490011</v>
      </c>
      <c r="I223" s="13">
        <v>98726.404184900108</v>
      </c>
      <c r="J223" s="13">
        <v>95726.404184900108</v>
      </c>
      <c r="K223" s="13">
        <v>92726.404184900108</v>
      </c>
      <c r="L223" s="13">
        <v>89726.404184900108</v>
      </c>
      <c r="M223" s="13">
        <v>86726.404184900108</v>
      </c>
      <c r="N223" s="13">
        <v>83726.404184900108</v>
      </c>
      <c r="O223" s="13">
        <v>80726.404184900108</v>
      </c>
      <c r="P223" s="13">
        <v>77726.404184900108</v>
      </c>
      <c r="Q223" s="13">
        <v>74726.404184900108</v>
      </c>
      <c r="R223" s="13">
        <v>71726.404184900108</v>
      </c>
      <c r="S223" s="13">
        <v>68726.404184900108</v>
      </c>
      <c r="T223" s="13">
        <v>65726.404184900108</v>
      </c>
      <c r="U223" s="13">
        <v>62726.404184900108</v>
      </c>
      <c r="V223" s="13">
        <v>59726.404184900108</v>
      </c>
      <c r="W223" s="13">
        <v>56726.404184900108</v>
      </c>
      <c r="X223" s="13">
        <v>53726.404184900108</v>
      </c>
    </row>
    <row r="224" spans="1:24" x14ac:dyDescent="0.35">
      <c r="A224" s="34">
        <v>197</v>
      </c>
      <c r="B224" s="2">
        <v>1.0371004732006583E-2</v>
      </c>
      <c r="C224" s="91">
        <f t="shared" si="10"/>
        <v>6.8735216882892125</v>
      </c>
      <c r="D224" s="13">
        <v>-5011.8264936862979</v>
      </c>
      <c r="E224" s="13">
        <v>-8011.8264936862979</v>
      </c>
      <c r="F224" s="13">
        <v>-11011.826493686298</v>
      </c>
      <c r="G224" s="13">
        <v>-14011.826493686298</v>
      </c>
      <c r="H224" s="13">
        <v>-17011.826493686298</v>
      </c>
      <c r="I224" s="13">
        <v>-20011.826493686298</v>
      </c>
      <c r="J224" s="13">
        <v>-23011.826493686298</v>
      </c>
      <c r="K224" s="13">
        <v>-26011.826493686298</v>
      </c>
      <c r="L224" s="13">
        <v>-29011.826493686298</v>
      </c>
      <c r="M224" s="13">
        <v>-32011.826493686298</v>
      </c>
      <c r="N224" s="13">
        <v>-35011.826493686298</v>
      </c>
      <c r="O224" s="13">
        <v>-38011.826493686298</v>
      </c>
      <c r="P224" s="13">
        <v>-41011.826493686298</v>
      </c>
      <c r="Q224" s="13">
        <v>-44011.826493686298</v>
      </c>
      <c r="R224" s="13">
        <v>-47011.826493686298</v>
      </c>
      <c r="S224" s="13">
        <v>-50011.826493686298</v>
      </c>
      <c r="T224" s="13">
        <v>-53011.826493686298</v>
      </c>
      <c r="U224" s="13">
        <v>-56011.826493686298</v>
      </c>
      <c r="V224" s="13">
        <v>-59011.826493686298</v>
      </c>
      <c r="W224" s="13">
        <v>-62011.826493686298</v>
      </c>
      <c r="X224" s="13">
        <v>-65011.826493686298</v>
      </c>
    </row>
    <row r="225" spans="1:24" x14ac:dyDescent="0.35">
      <c r="A225" s="34">
        <v>198</v>
      </c>
      <c r="B225" s="2">
        <v>0.90585510661734503</v>
      </c>
      <c r="C225" s="91">
        <f t="shared" si="10"/>
        <v>43.156552311501301</v>
      </c>
      <c r="D225" s="13">
        <v>169469.65693450382</v>
      </c>
      <c r="E225" s="13">
        <v>171469.65693450382</v>
      </c>
      <c r="F225" s="13">
        <v>173469.65693450382</v>
      </c>
      <c r="G225" s="13">
        <v>175469.65693450382</v>
      </c>
      <c r="H225" s="13">
        <v>177469.65693450382</v>
      </c>
      <c r="I225" s="13">
        <v>179469.65693450382</v>
      </c>
      <c r="J225" s="13">
        <v>181469.65693450382</v>
      </c>
      <c r="K225" s="13">
        <v>183469.65693450382</v>
      </c>
      <c r="L225" s="13">
        <v>185469.65693450382</v>
      </c>
      <c r="M225" s="13">
        <v>187469.65693450382</v>
      </c>
      <c r="N225" s="13">
        <v>189469.65693450382</v>
      </c>
      <c r="O225" s="13">
        <v>191469.65693450382</v>
      </c>
      <c r="P225" s="13">
        <v>193469.65693450382</v>
      </c>
      <c r="Q225" s="13">
        <v>195469.65693450382</v>
      </c>
      <c r="R225" s="13">
        <v>197469.65693450382</v>
      </c>
      <c r="S225" s="13">
        <v>199469.65693450382</v>
      </c>
      <c r="T225" s="13">
        <v>201469.65693450382</v>
      </c>
      <c r="U225" s="13">
        <v>203469.65693450382</v>
      </c>
      <c r="V225" s="13">
        <v>205469.65693450382</v>
      </c>
      <c r="W225" s="13">
        <v>207469.65693450382</v>
      </c>
      <c r="X225" s="13">
        <v>209469.65693450382</v>
      </c>
    </row>
    <row r="226" spans="1:24" x14ac:dyDescent="0.35">
      <c r="A226" s="34">
        <v>199</v>
      </c>
      <c r="B226" s="2">
        <v>0.11669560057387429</v>
      </c>
      <c r="C226" s="91">
        <f t="shared" si="10"/>
        <v>18.083313651247554</v>
      </c>
      <c r="D226" s="13">
        <v>84666.509209980431</v>
      </c>
      <c r="E226" s="13">
        <v>81666.509209980431</v>
      </c>
      <c r="F226" s="13">
        <v>78666.509209980373</v>
      </c>
      <c r="G226" s="13">
        <v>75666.509209980373</v>
      </c>
      <c r="H226" s="13">
        <v>72666.509209980373</v>
      </c>
      <c r="I226" s="13">
        <v>69666.509209980373</v>
      </c>
      <c r="J226" s="13">
        <v>66666.509209980373</v>
      </c>
      <c r="K226" s="13">
        <v>63666.509209980373</v>
      </c>
      <c r="L226" s="13">
        <v>60666.509209980373</v>
      </c>
      <c r="M226" s="13">
        <v>57666.509209980373</v>
      </c>
      <c r="N226" s="13">
        <v>54666.509209980373</v>
      </c>
      <c r="O226" s="13">
        <v>51666.509209980373</v>
      </c>
      <c r="P226" s="13">
        <v>48666.509209980373</v>
      </c>
      <c r="Q226" s="13">
        <v>45666.509209980373</v>
      </c>
      <c r="R226" s="13">
        <v>42666.50920998049</v>
      </c>
      <c r="S226" s="13">
        <v>39666.50920998049</v>
      </c>
      <c r="T226" s="13">
        <v>36666.50920998049</v>
      </c>
      <c r="U226" s="13">
        <v>33666.50920998049</v>
      </c>
      <c r="V226" s="13">
        <v>30666.50920998049</v>
      </c>
      <c r="W226" s="13">
        <v>27666.50920998049</v>
      </c>
      <c r="X226" s="13">
        <v>24666.50920998049</v>
      </c>
    </row>
    <row r="227" spans="1:24" x14ac:dyDescent="0.35">
      <c r="A227" s="34">
        <v>200</v>
      </c>
      <c r="B227" s="2">
        <v>0.39573359797885288</v>
      </c>
      <c r="C227" s="91">
        <f t="shared" si="10"/>
        <v>27.35594139255268</v>
      </c>
      <c r="D227" s="13">
        <v>122067.82417765807</v>
      </c>
      <c r="E227" s="13">
        <v>124067.82417765807</v>
      </c>
      <c r="F227" s="13">
        <v>126067.82417765807</v>
      </c>
      <c r="G227" s="13">
        <v>128067.82417765807</v>
      </c>
      <c r="H227" s="13">
        <v>130067.82417765807</v>
      </c>
      <c r="I227" s="13">
        <v>132067.82417765807</v>
      </c>
      <c r="J227" s="13">
        <v>134067.82417765807</v>
      </c>
      <c r="K227" s="13">
        <v>136067.82417765807</v>
      </c>
      <c r="L227" s="13">
        <v>134847.5311404214</v>
      </c>
      <c r="M227" s="13">
        <v>131847.5311404214</v>
      </c>
      <c r="N227" s="13">
        <v>128847.5311404214</v>
      </c>
      <c r="O227" s="13">
        <v>125847.5311404214</v>
      </c>
      <c r="P227" s="13">
        <v>122847.53114042152</v>
      </c>
      <c r="Q227" s="13">
        <v>119847.53114042152</v>
      </c>
      <c r="R227" s="13">
        <v>116847.53114042152</v>
      </c>
      <c r="S227" s="13">
        <v>113847.53114042152</v>
      </c>
      <c r="T227" s="13">
        <v>110847.53114042152</v>
      </c>
      <c r="U227" s="13">
        <v>107847.53114042152</v>
      </c>
      <c r="V227" s="13">
        <v>104847.53114042152</v>
      </c>
      <c r="W227" s="13">
        <v>101847.53114042152</v>
      </c>
      <c r="X227" s="13">
        <v>98847.531140421517</v>
      </c>
    </row>
    <row r="228" spans="1:24" x14ac:dyDescent="0.35">
      <c r="A228" s="34">
        <v>201</v>
      </c>
      <c r="B228" s="2">
        <v>0.56561188261766338</v>
      </c>
      <c r="C228" s="91">
        <f t="shared" si="10"/>
        <v>31.65213125260944</v>
      </c>
      <c r="D228" s="13">
        <v>134956.39375782839</v>
      </c>
      <c r="E228" s="13">
        <v>136956.39375782839</v>
      </c>
      <c r="F228" s="13">
        <v>138956.39375782839</v>
      </c>
      <c r="G228" s="13">
        <v>140956.39375782839</v>
      </c>
      <c r="H228" s="13">
        <v>142956.39375782839</v>
      </c>
      <c r="I228" s="13">
        <v>144956.39375782839</v>
      </c>
      <c r="J228" s="13">
        <v>146956.39375782828</v>
      </c>
      <c r="K228" s="13">
        <v>148956.39375782828</v>
      </c>
      <c r="L228" s="13">
        <v>150956.39375782828</v>
      </c>
      <c r="M228" s="13">
        <v>152956.39375782828</v>
      </c>
      <c r="N228" s="13">
        <v>154956.39375782828</v>
      </c>
      <c r="O228" s="13">
        <v>156956.39375782828</v>
      </c>
      <c r="P228" s="13">
        <v>157217.05002087553</v>
      </c>
      <c r="Q228" s="13">
        <v>154217.05002087553</v>
      </c>
      <c r="R228" s="13">
        <v>151217.05002087553</v>
      </c>
      <c r="S228" s="13">
        <v>148217.05002087553</v>
      </c>
      <c r="T228" s="13">
        <v>145217.05002087553</v>
      </c>
      <c r="U228" s="13">
        <v>142217.05002087553</v>
      </c>
      <c r="V228" s="13">
        <v>139217.05002087553</v>
      </c>
      <c r="W228" s="13">
        <v>136217.05002087553</v>
      </c>
      <c r="X228" s="13">
        <v>133217.05002087553</v>
      </c>
    </row>
    <row r="229" spans="1:24" x14ac:dyDescent="0.35">
      <c r="A229" s="34">
        <v>202</v>
      </c>
      <c r="B229" s="2">
        <v>0.58472389558516569</v>
      </c>
      <c r="C229" s="91">
        <f t="shared" si="10"/>
        <v>32.13993393819738</v>
      </c>
      <c r="D229" s="13">
        <v>136419.80181459221</v>
      </c>
      <c r="E229" s="13">
        <v>138419.80181459221</v>
      </c>
      <c r="F229" s="13">
        <v>140419.80181459221</v>
      </c>
      <c r="G229" s="13">
        <v>142419.80181459221</v>
      </c>
      <c r="H229" s="13">
        <v>144419.80181459221</v>
      </c>
      <c r="I229" s="13">
        <v>146419.80181459221</v>
      </c>
      <c r="J229" s="13">
        <v>148419.80181459221</v>
      </c>
      <c r="K229" s="13">
        <v>150419.80181459221</v>
      </c>
      <c r="L229" s="13">
        <v>152419.80181459221</v>
      </c>
      <c r="M229" s="13">
        <v>154419.80181459221</v>
      </c>
      <c r="N229" s="13">
        <v>156419.80181459221</v>
      </c>
      <c r="O229" s="13">
        <v>158419.80181459221</v>
      </c>
      <c r="P229" s="13">
        <v>160419.80181459221</v>
      </c>
      <c r="Q229" s="13">
        <v>158119.47150557907</v>
      </c>
      <c r="R229" s="13">
        <v>155119.47150557907</v>
      </c>
      <c r="S229" s="13">
        <v>152119.47150557907</v>
      </c>
      <c r="T229" s="13">
        <v>149119.47150557907</v>
      </c>
      <c r="U229" s="13">
        <v>146119.47150557907</v>
      </c>
      <c r="V229" s="13">
        <v>143119.47150557907</v>
      </c>
      <c r="W229" s="13">
        <v>140119.47150557907</v>
      </c>
      <c r="X229" s="13">
        <v>137119.47150557907</v>
      </c>
    </row>
    <row r="230" spans="1:24" x14ac:dyDescent="0.35">
      <c r="A230" s="34">
        <v>203</v>
      </c>
      <c r="B230" s="2">
        <v>0.1906758052730787</v>
      </c>
      <c r="C230" s="91">
        <f t="shared" si="10"/>
        <v>21.245913787490601</v>
      </c>
      <c r="D230" s="13">
        <v>103737.74136247177</v>
      </c>
      <c r="E230" s="13">
        <v>105737.74136247177</v>
      </c>
      <c r="F230" s="13">
        <v>103967.31029992481</v>
      </c>
      <c r="G230" s="13">
        <v>100967.31029992481</v>
      </c>
      <c r="H230" s="13">
        <v>97967.310299924808</v>
      </c>
      <c r="I230" s="13">
        <v>94967.310299924808</v>
      </c>
      <c r="J230" s="13">
        <v>91967.310299924808</v>
      </c>
      <c r="K230" s="13">
        <v>88967.310299924808</v>
      </c>
      <c r="L230" s="13">
        <v>85967.310299924808</v>
      </c>
      <c r="M230" s="13">
        <v>82967.310299924808</v>
      </c>
      <c r="N230" s="13">
        <v>79967.310299924808</v>
      </c>
      <c r="O230" s="13">
        <v>76967.310299924808</v>
      </c>
      <c r="P230" s="13">
        <v>73967.310299924808</v>
      </c>
      <c r="Q230" s="13">
        <v>70967.310299924808</v>
      </c>
      <c r="R230" s="13">
        <v>67967.310299924808</v>
      </c>
      <c r="S230" s="13">
        <v>64967.310299924808</v>
      </c>
      <c r="T230" s="13">
        <v>61967.310299924808</v>
      </c>
      <c r="U230" s="13">
        <v>58967.310299924808</v>
      </c>
      <c r="V230" s="13">
        <v>55967.310299924808</v>
      </c>
      <c r="W230" s="13">
        <v>52967.310299924808</v>
      </c>
      <c r="X230" s="13">
        <v>49967.310299924808</v>
      </c>
    </row>
    <row r="231" spans="1:24" x14ac:dyDescent="0.35">
      <c r="A231" s="34">
        <v>204</v>
      </c>
      <c r="B231" s="2">
        <v>0.29445301484641073</v>
      </c>
      <c r="C231" s="91">
        <f t="shared" si="10"/>
        <v>24.595779862054865</v>
      </c>
      <c r="D231" s="13">
        <v>113787.33958616463</v>
      </c>
      <c r="E231" s="13">
        <v>115787.33958616463</v>
      </c>
      <c r="F231" s="13">
        <v>117787.33958616463</v>
      </c>
      <c r="G231" s="13">
        <v>119787.33958616463</v>
      </c>
      <c r="H231" s="13">
        <v>121787.33958616463</v>
      </c>
      <c r="I231" s="13">
        <v>121766.23889643897</v>
      </c>
      <c r="J231" s="13">
        <v>118766.23889643897</v>
      </c>
      <c r="K231" s="13">
        <v>115766.23889643897</v>
      </c>
      <c r="L231" s="13">
        <v>112766.23889643897</v>
      </c>
      <c r="M231" s="13">
        <v>109766.23889643897</v>
      </c>
      <c r="N231" s="13">
        <v>106766.23889643897</v>
      </c>
      <c r="O231" s="13">
        <v>103766.23889643897</v>
      </c>
      <c r="P231" s="13">
        <v>100766.23889643897</v>
      </c>
      <c r="Q231" s="13">
        <v>97766.238896438968</v>
      </c>
      <c r="R231" s="13">
        <v>94766.238896438968</v>
      </c>
      <c r="S231" s="13">
        <v>91766.238896438968</v>
      </c>
      <c r="T231" s="13">
        <v>88766.238896438968</v>
      </c>
      <c r="U231" s="13">
        <v>85766.238896438968</v>
      </c>
      <c r="V231" s="13">
        <v>82766.238896438968</v>
      </c>
      <c r="W231" s="13">
        <v>79766.238896438968</v>
      </c>
      <c r="X231" s="13">
        <v>76766.238896438968</v>
      </c>
    </row>
    <row r="232" spans="1:24" x14ac:dyDescent="0.35">
      <c r="A232" s="34">
        <v>205</v>
      </c>
      <c r="B232" s="2">
        <v>0.44812052428234095</v>
      </c>
      <c r="C232" s="91">
        <f t="shared" si="10"/>
        <v>28.695887274700397</v>
      </c>
      <c r="D232" s="13">
        <v>126087.66182410112</v>
      </c>
      <c r="E232" s="13">
        <v>128087.66182410112</v>
      </c>
      <c r="F232" s="13">
        <v>130087.66182410112</v>
      </c>
      <c r="G232" s="13">
        <v>132087.66182410112</v>
      </c>
      <c r="H232" s="13">
        <v>134087.66182410123</v>
      </c>
      <c r="I232" s="13">
        <v>136087.66182410123</v>
      </c>
      <c r="J232" s="13">
        <v>138087.66182410123</v>
      </c>
      <c r="K232" s="13">
        <v>140087.66182410123</v>
      </c>
      <c r="L232" s="13">
        <v>142087.66182410123</v>
      </c>
      <c r="M232" s="13">
        <v>142567.09819760325</v>
      </c>
      <c r="N232" s="13">
        <v>139567.09819760325</v>
      </c>
      <c r="O232" s="13">
        <v>136567.09819760325</v>
      </c>
      <c r="P232" s="13">
        <v>133567.09819760325</v>
      </c>
      <c r="Q232" s="13">
        <v>130567.09819760325</v>
      </c>
      <c r="R232" s="13">
        <v>127567.09819760325</v>
      </c>
      <c r="S232" s="13">
        <v>124567.09819760325</v>
      </c>
      <c r="T232" s="13">
        <v>121567.09819760325</v>
      </c>
      <c r="U232" s="13">
        <v>118567.09819760325</v>
      </c>
      <c r="V232" s="13">
        <v>115567.09819760325</v>
      </c>
      <c r="W232" s="13">
        <v>112567.09819760325</v>
      </c>
      <c r="X232" s="13">
        <v>109567.09819760325</v>
      </c>
    </row>
    <row r="233" spans="1:24" x14ac:dyDescent="0.35">
      <c r="A233" s="34">
        <v>206</v>
      </c>
      <c r="B233" s="2">
        <v>0.5683377295699058</v>
      </c>
      <c r="C233" s="91">
        <f t="shared" si="10"/>
        <v>31.721437216664462</v>
      </c>
      <c r="D233" s="13">
        <v>135164.31164999329</v>
      </c>
      <c r="E233" s="13">
        <v>137164.31164999329</v>
      </c>
      <c r="F233" s="13">
        <v>139164.31164999329</v>
      </c>
      <c r="G233" s="13">
        <v>141164.31164999329</v>
      </c>
      <c r="H233" s="13">
        <v>143164.31164999329</v>
      </c>
      <c r="I233" s="13">
        <v>145164.31164999329</v>
      </c>
      <c r="J233" s="13">
        <v>147164.31164999329</v>
      </c>
      <c r="K233" s="13">
        <v>149164.31164999341</v>
      </c>
      <c r="L233" s="13">
        <v>151164.31164999341</v>
      </c>
      <c r="M233" s="13">
        <v>153164.31164999341</v>
      </c>
      <c r="N233" s="13">
        <v>155164.31164999341</v>
      </c>
      <c r="O233" s="13">
        <v>157164.31164999341</v>
      </c>
      <c r="P233" s="13">
        <v>157771.4977333158</v>
      </c>
      <c r="Q233" s="13">
        <v>154771.4977333158</v>
      </c>
      <c r="R233" s="13">
        <v>151771.49773331569</v>
      </c>
      <c r="S233" s="13">
        <v>148771.49773331569</v>
      </c>
      <c r="T233" s="13">
        <v>145771.49773331569</v>
      </c>
      <c r="U233" s="13">
        <v>142771.49773331569</v>
      </c>
      <c r="V233" s="13">
        <v>139771.49773331569</v>
      </c>
      <c r="W233" s="13">
        <v>136771.49773331569</v>
      </c>
      <c r="X233" s="13">
        <v>133771.49773331569</v>
      </c>
    </row>
    <row r="234" spans="1:24" x14ac:dyDescent="0.35">
      <c r="A234" s="34">
        <v>207</v>
      </c>
      <c r="B234" s="2">
        <v>0.89833211840012872</v>
      </c>
      <c r="C234" s="91">
        <f t="shared" si="10"/>
        <v>42.721051455552434</v>
      </c>
      <c r="D234" s="13">
        <v>168163.15436665714</v>
      </c>
      <c r="E234" s="13">
        <v>170163.15436665714</v>
      </c>
      <c r="F234" s="13">
        <v>172163.15436665714</v>
      </c>
      <c r="G234" s="13">
        <v>174163.15436665714</v>
      </c>
      <c r="H234" s="13">
        <v>176163.15436665714</v>
      </c>
      <c r="I234" s="13">
        <v>178163.15436665714</v>
      </c>
      <c r="J234" s="13">
        <v>180163.15436665714</v>
      </c>
      <c r="K234" s="13">
        <v>182163.15436665714</v>
      </c>
      <c r="L234" s="13">
        <v>184163.15436665714</v>
      </c>
      <c r="M234" s="13">
        <v>186163.15436665714</v>
      </c>
      <c r="N234" s="13">
        <v>188163.15436665714</v>
      </c>
      <c r="O234" s="13">
        <v>190163.15436665714</v>
      </c>
      <c r="P234" s="13">
        <v>192163.15436665714</v>
      </c>
      <c r="Q234" s="13">
        <v>194163.15436665714</v>
      </c>
      <c r="R234" s="13">
        <v>196163.15436665714</v>
      </c>
      <c r="S234" s="13">
        <v>198163.15436665714</v>
      </c>
      <c r="T234" s="13">
        <v>200163.15436665714</v>
      </c>
      <c r="U234" s="13">
        <v>202163.15436665714</v>
      </c>
      <c r="V234" s="13">
        <v>204163.15436665737</v>
      </c>
      <c r="W234" s="13">
        <v>206163.15436665737</v>
      </c>
      <c r="X234" s="13">
        <v>208163.15436665737</v>
      </c>
    </row>
    <row r="235" spans="1:24" x14ac:dyDescent="0.35">
      <c r="A235" s="34">
        <v>208</v>
      </c>
      <c r="B235" s="2">
        <v>0.79904960904277211</v>
      </c>
      <c r="C235" s="91">
        <f t="shared" si="10"/>
        <v>38.382313522328168</v>
      </c>
      <c r="D235" s="13">
        <v>155146.94056698447</v>
      </c>
      <c r="E235" s="13">
        <v>157146.94056698447</v>
      </c>
      <c r="F235" s="13">
        <v>159146.94056698447</v>
      </c>
      <c r="G235" s="13">
        <v>161146.94056698447</v>
      </c>
      <c r="H235" s="13">
        <v>163146.94056698447</v>
      </c>
      <c r="I235" s="13">
        <v>165146.94056698447</v>
      </c>
      <c r="J235" s="13">
        <v>167146.94056698447</v>
      </c>
      <c r="K235" s="13">
        <v>169146.94056698447</v>
      </c>
      <c r="L235" s="13">
        <v>171146.94056698447</v>
      </c>
      <c r="M235" s="13">
        <v>173146.94056698447</v>
      </c>
      <c r="N235" s="13">
        <v>175146.94056698447</v>
      </c>
      <c r="O235" s="13">
        <v>177146.94056698447</v>
      </c>
      <c r="P235" s="13">
        <v>179146.94056698447</v>
      </c>
      <c r="Q235" s="13">
        <v>181146.94056698447</v>
      </c>
      <c r="R235" s="13">
        <v>183146.94056698447</v>
      </c>
      <c r="S235" s="13">
        <v>185146.94056698447</v>
      </c>
      <c r="T235" s="13">
        <v>187146.94056698447</v>
      </c>
      <c r="U235" s="13">
        <v>189146.94056698447</v>
      </c>
      <c r="V235" s="13">
        <v>191146.94056698447</v>
      </c>
      <c r="W235" s="13">
        <v>190058.50817862526</v>
      </c>
      <c r="X235" s="13">
        <v>187058.50817862526</v>
      </c>
    </row>
    <row r="236" spans="1:24" x14ac:dyDescent="0.35">
      <c r="A236" s="34">
        <v>209</v>
      </c>
      <c r="B236" s="2">
        <v>0.96571970506080784</v>
      </c>
      <c r="C236" s="91">
        <f t="shared" si="10"/>
        <v>48.213044533173644</v>
      </c>
      <c r="D236" s="13">
        <v>184639.13359952101</v>
      </c>
      <c r="E236" s="13">
        <v>186639.13359952101</v>
      </c>
      <c r="F236" s="13">
        <v>188639.13359952101</v>
      </c>
      <c r="G236" s="13">
        <v>190639.13359952101</v>
      </c>
      <c r="H236" s="13">
        <v>192639.13359952101</v>
      </c>
      <c r="I236" s="13">
        <v>194639.13359952101</v>
      </c>
      <c r="J236" s="13">
        <v>196639.13359952101</v>
      </c>
      <c r="K236" s="13">
        <v>198639.13359952101</v>
      </c>
      <c r="L236" s="13">
        <v>200639.13359952101</v>
      </c>
      <c r="M236" s="13">
        <v>202639.13359952101</v>
      </c>
      <c r="N236" s="13">
        <v>204639.13359952101</v>
      </c>
      <c r="O236" s="13">
        <v>206639.13359952101</v>
      </c>
      <c r="P236" s="13">
        <v>208639.13359952101</v>
      </c>
      <c r="Q236" s="13">
        <v>210639.13359952101</v>
      </c>
      <c r="R236" s="13">
        <v>212639.13359952101</v>
      </c>
      <c r="S236" s="13">
        <v>214639.13359952101</v>
      </c>
      <c r="T236" s="13">
        <v>216639.13359952101</v>
      </c>
      <c r="U236" s="13">
        <v>218639.13359952101</v>
      </c>
      <c r="V236" s="13">
        <v>220639.13359952101</v>
      </c>
      <c r="W236" s="13">
        <v>222639.13359952101</v>
      </c>
      <c r="X236" s="13">
        <v>224639.13359952101</v>
      </c>
    </row>
    <row r="237" spans="1:24" x14ac:dyDescent="0.35">
      <c r="A237" s="34">
        <v>210</v>
      </c>
      <c r="B237" s="2">
        <v>0.56985357110902313</v>
      </c>
      <c r="C237" s="91">
        <f t="shared" si="10"/>
        <v>31.76001380644496</v>
      </c>
      <c r="D237" s="13">
        <v>135280.04141933494</v>
      </c>
      <c r="E237" s="13">
        <v>137280.04141933494</v>
      </c>
      <c r="F237" s="13">
        <v>139280.04141933494</v>
      </c>
      <c r="G237" s="13">
        <v>141280.04141933494</v>
      </c>
      <c r="H237" s="13">
        <v>143280.04141933494</v>
      </c>
      <c r="I237" s="13">
        <v>145280.04141933494</v>
      </c>
      <c r="J237" s="13">
        <v>147280.04141933494</v>
      </c>
      <c r="K237" s="13">
        <v>149280.04141933494</v>
      </c>
      <c r="L237" s="13">
        <v>151280.04141933494</v>
      </c>
      <c r="M237" s="13">
        <v>153280.04141933494</v>
      </c>
      <c r="N237" s="13">
        <v>155280.04141933494</v>
      </c>
      <c r="O237" s="13">
        <v>157280.04141933494</v>
      </c>
      <c r="P237" s="13">
        <v>158080.11045155965</v>
      </c>
      <c r="Q237" s="13">
        <v>155080.11045155965</v>
      </c>
      <c r="R237" s="13">
        <v>152080.11045155965</v>
      </c>
      <c r="S237" s="13">
        <v>149080.11045155965</v>
      </c>
      <c r="T237" s="13">
        <v>146080.11045155977</v>
      </c>
      <c r="U237" s="13">
        <v>143080.11045155977</v>
      </c>
      <c r="V237" s="13">
        <v>140080.11045155977</v>
      </c>
      <c r="W237" s="13">
        <v>137080.11045155977</v>
      </c>
      <c r="X237" s="13">
        <v>134080.11045155977</v>
      </c>
    </row>
    <row r="238" spans="1:24" x14ac:dyDescent="0.35">
      <c r="A238" s="34">
        <v>211</v>
      </c>
      <c r="B238" s="2">
        <v>3.3246734944946676E-2</v>
      </c>
      <c r="C238" s="91">
        <f t="shared" si="10"/>
        <v>11.649175231175576</v>
      </c>
      <c r="D238" s="13">
        <v>33193.401849404618</v>
      </c>
      <c r="E238" s="13">
        <v>30193.401849404618</v>
      </c>
      <c r="F238" s="13">
        <v>27193.401849404618</v>
      </c>
      <c r="G238" s="13">
        <v>24193.401849404618</v>
      </c>
      <c r="H238" s="13">
        <v>21193.401849404618</v>
      </c>
      <c r="I238" s="13">
        <v>18193.401849404618</v>
      </c>
      <c r="J238" s="13">
        <v>15193.401849404676</v>
      </c>
      <c r="K238" s="13">
        <v>12193.401849404676</v>
      </c>
      <c r="L238" s="13">
        <v>9193.4018494046759</v>
      </c>
      <c r="M238" s="13">
        <v>6193.4018494046759</v>
      </c>
      <c r="N238" s="13">
        <v>3193.4018494046759</v>
      </c>
      <c r="O238" s="13">
        <v>193.40184940467589</v>
      </c>
      <c r="P238" s="13">
        <v>-2806.5981505953241</v>
      </c>
      <c r="Q238" s="13">
        <v>-5806.5981505953241</v>
      </c>
      <c r="R238" s="13">
        <v>-8806.5981505953241</v>
      </c>
      <c r="S238" s="13">
        <v>-11806.598150595324</v>
      </c>
      <c r="T238" s="13">
        <v>-14806.598150595324</v>
      </c>
      <c r="U238" s="13">
        <v>-17806.598150595324</v>
      </c>
      <c r="V238" s="13">
        <v>-20806.598150595324</v>
      </c>
      <c r="W238" s="13">
        <v>-23806.598150595324</v>
      </c>
      <c r="X238" s="13">
        <v>-26806.598150595324</v>
      </c>
    </row>
    <row r="239" spans="1:24" x14ac:dyDescent="0.35">
      <c r="A239" s="34">
        <v>212</v>
      </c>
      <c r="B239" s="2">
        <v>0.39563129069937963</v>
      </c>
      <c r="C239" s="91">
        <f t="shared" si="10"/>
        <v>27.353285609550959</v>
      </c>
      <c r="D239" s="13">
        <v>122059.8568286529</v>
      </c>
      <c r="E239" s="13">
        <v>124059.8568286529</v>
      </c>
      <c r="F239" s="13">
        <v>126059.8568286529</v>
      </c>
      <c r="G239" s="13">
        <v>128059.8568286529</v>
      </c>
      <c r="H239" s="13">
        <v>130059.8568286529</v>
      </c>
      <c r="I239" s="13">
        <v>132059.8568286529</v>
      </c>
      <c r="J239" s="13">
        <v>134059.8568286529</v>
      </c>
      <c r="K239" s="13">
        <v>136059.8568286529</v>
      </c>
      <c r="L239" s="13">
        <v>134826.28487640771</v>
      </c>
      <c r="M239" s="13">
        <v>131826.28487640771</v>
      </c>
      <c r="N239" s="13">
        <v>128826.28487640771</v>
      </c>
      <c r="O239" s="13">
        <v>125826.28487640771</v>
      </c>
      <c r="P239" s="13">
        <v>122826.28487640771</v>
      </c>
      <c r="Q239" s="13">
        <v>119826.28487640771</v>
      </c>
      <c r="R239" s="13">
        <v>116826.28487640771</v>
      </c>
      <c r="S239" s="13">
        <v>113826.28487640771</v>
      </c>
      <c r="T239" s="13">
        <v>110826.28487640771</v>
      </c>
      <c r="U239" s="13">
        <v>107826.28487640771</v>
      </c>
      <c r="V239" s="13">
        <v>104826.28487640771</v>
      </c>
      <c r="W239" s="13">
        <v>101826.28487640771</v>
      </c>
      <c r="X239" s="13">
        <v>98826.284876407706</v>
      </c>
    </row>
    <row r="240" spans="1:24" x14ac:dyDescent="0.35">
      <c r="A240" s="34">
        <v>213</v>
      </c>
      <c r="B240" s="2">
        <v>0.34920994909782199</v>
      </c>
      <c r="C240" s="91">
        <f t="shared" si="10"/>
        <v>26.125456824388532</v>
      </c>
      <c r="D240" s="13">
        <v>118376.37047316553</v>
      </c>
      <c r="E240" s="13">
        <v>120376.37047316553</v>
      </c>
      <c r="F240" s="13">
        <v>122376.37047316553</v>
      </c>
      <c r="G240" s="13">
        <v>124376.37047316553</v>
      </c>
      <c r="H240" s="13">
        <v>126376.37047316553</v>
      </c>
      <c r="I240" s="13">
        <v>128376.37047316553</v>
      </c>
      <c r="J240" s="13">
        <v>130376.37047316559</v>
      </c>
      <c r="K240" s="13">
        <v>128003.65459510824</v>
      </c>
      <c r="L240" s="13">
        <v>125003.65459510824</v>
      </c>
      <c r="M240" s="13">
        <v>122003.65459510824</v>
      </c>
      <c r="N240" s="13">
        <v>119003.65459510824</v>
      </c>
      <c r="O240" s="13">
        <v>116003.65459510824</v>
      </c>
      <c r="P240" s="13">
        <v>113003.65459510824</v>
      </c>
      <c r="Q240" s="13">
        <v>110003.65459510824</v>
      </c>
      <c r="R240" s="13">
        <v>107003.65459510824</v>
      </c>
      <c r="S240" s="13">
        <v>104003.65459510824</v>
      </c>
      <c r="T240" s="13">
        <v>101003.65459510824</v>
      </c>
      <c r="U240" s="13">
        <v>98003.654595108237</v>
      </c>
      <c r="V240" s="13">
        <v>95003.654595108237</v>
      </c>
      <c r="W240" s="13">
        <v>92003.654595108237</v>
      </c>
      <c r="X240" s="13">
        <v>89003.654595108237</v>
      </c>
    </row>
    <row r="241" spans="1:24" x14ac:dyDescent="0.35">
      <c r="A241" s="34">
        <v>214</v>
      </c>
      <c r="B241" s="2">
        <v>0.51942689771600381</v>
      </c>
      <c r="C241" s="91">
        <f t="shared" si="10"/>
        <v>30.487152725799191</v>
      </c>
      <c r="D241" s="13">
        <v>131461.45817739761</v>
      </c>
      <c r="E241" s="13">
        <v>133461.45817739761</v>
      </c>
      <c r="F241" s="13">
        <v>135461.45817739761</v>
      </c>
      <c r="G241" s="13">
        <v>137461.45817739761</v>
      </c>
      <c r="H241" s="13">
        <v>139461.45817739761</v>
      </c>
      <c r="I241" s="13">
        <v>141461.45817739761</v>
      </c>
      <c r="J241" s="13">
        <v>143461.45817739761</v>
      </c>
      <c r="K241" s="13">
        <v>145461.45817739761</v>
      </c>
      <c r="L241" s="13">
        <v>147461.45817739761</v>
      </c>
      <c r="M241" s="13">
        <v>149461.45817739761</v>
      </c>
      <c r="N241" s="13">
        <v>151461.45817739761</v>
      </c>
      <c r="O241" s="13">
        <v>150897.22180639347</v>
      </c>
      <c r="P241" s="13">
        <v>147897.22180639347</v>
      </c>
      <c r="Q241" s="13">
        <v>144897.22180639347</v>
      </c>
      <c r="R241" s="13">
        <v>141897.22180639347</v>
      </c>
      <c r="S241" s="13">
        <v>138897.22180639347</v>
      </c>
      <c r="T241" s="13">
        <v>135897.22180639347</v>
      </c>
      <c r="U241" s="13">
        <v>132897.22180639347</v>
      </c>
      <c r="V241" s="13">
        <v>129897.22180639347</v>
      </c>
      <c r="W241" s="13">
        <v>126897.22180639347</v>
      </c>
      <c r="X241" s="13">
        <v>123897.22180639347</v>
      </c>
    </row>
    <row r="242" spans="1:24" x14ac:dyDescent="0.35">
      <c r="A242" s="34">
        <v>215</v>
      </c>
      <c r="B242" s="2">
        <v>8.2231154392764627E-2</v>
      </c>
      <c r="C242" s="91">
        <f t="shared" si="10"/>
        <v>16.097807470077161</v>
      </c>
      <c r="D242" s="13">
        <v>68782.459760617232</v>
      </c>
      <c r="E242" s="13">
        <v>65782.459760617232</v>
      </c>
      <c r="F242" s="13">
        <v>62782.459760617232</v>
      </c>
      <c r="G242" s="13">
        <v>59782.459760617232</v>
      </c>
      <c r="H242" s="13">
        <v>56782.459760617232</v>
      </c>
      <c r="I242" s="13">
        <v>53782.459760617232</v>
      </c>
      <c r="J242" s="13">
        <v>50782.459760617232</v>
      </c>
      <c r="K242" s="13">
        <v>47782.459760617232</v>
      </c>
      <c r="L242" s="13">
        <v>44782.459760617232</v>
      </c>
      <c r="M242" s="13">
        <v>41782.459760617232</v>
      </c>
      <c r="N242" s="13">
        <v>38782.459760617232</v>
      </c>
      <c r="O242" s="13">
        <v>35782.459760617232</v>
      </c>
      <c r="P242" s="13">
        <v>32782.459760617232</v>
      </c>
      <c r="Q242" s="13">
        <v>29782.459760617232</v>
      </c>
      <c r="R242" s="13">
        <v>26782.459760617232</v>
      </c>
      <c r="S242" s="13">
        <v>23782.459760617232</v>
      </c>
      <c r="T242" s="13">
        <v>20782.459760617232</v>
      </c>
      <c r="U242" s="13">
        <v>17782.459760617232</v>
      </c>
      <c r="V242" s="13">
        <v>14782.459760617232</v>
      </c>
      <c r="W242" s="13">
        <v>11782.459760617232</v>
      </c>
      <c r="X242" s="13">
        <v>8782.459760617232</v>
      </c>
    </row>
    <row r="243" spans="1:24" x14ac:dyDescent="0.35">
      <c r="A243" s="34">
        <v>216</v>
      </c>
      <c r="B243" s="2">
        <v>0.2487901981210956</v>
      </c>
      <c r="C243" s="91">
        <f t="shared" si="10"/>
        <v>23.21698260907041</v>
      </c>
      <c r="D243" s="13">
        <v>109650.94782721123</v>
      </c>
      <c r="E243" s="13">
        <v>111650.94782721123</v>
      </c>
      <c r="F243" s="13">
        <v>113650.94782721123</v>
      </c>
      <c r="G243" s="13">
        <v>115650.94782721123</v>
      </c>
      <c r="H243" s="13">
        <v>113735.86087256321</v>
      </c>
      <c r="I243" s="13">
        <v>110735.86087256321</v>
      </c>
      <c r="J243" s="13">
        <v>107735.86087256321</v>
      </c>
      <c r="K243" s="13">
        <v>104735.86087256321</v>
      </c>
      <c r="L243" s="13">
        <v>101735.86087256321</v>
      </c>
      <c r="M243" s="13">
        <v>98735.860872563208</v>
      </c>
      <c r="N243" s="13">
        <v>95735.860872563208</v>
      </c>
      <c r="O243" s="13">
        <v>92735.860872563208</v>
      </c>
      <c r="P243" s="13">
        <v>89735.860872563208</v>
      </c>
      <c r="Q243" s="13">
        <v>86735.860872563208</v>
      </c>
      <c r="R243" s="13">
        <v>83735.860872563208</v>
      </c>
      <c r="S243" s="13">
        <v>80735.860872563208</v>
      </c>
      <c r="T243" s="13">
        <v>77735.860872563208</v>
      </c>
      <c r="U243" s="13">
        <v>74735.860872563208</v>
      </c>
      <c r="V243" s="13">
        <v>71735.860872563208</v>
      </c>
      <c r="W243" s="13">
        <v>68735.860872563208</v>
      </c>
      <c r="X243" s="13">
        <v>65735.860872563208</v>
      </c>
    </row>
    <row r="244" spans="1:24" x14ac:dyDescent="0.35">
      <c r="A244" s="34">
        <v>217</v>
      </c>
      <c r="B244" s="2">
        <v>0.70396227476586526</v>
      </c>
      <c r="C244" s="91">
        <f t="shared" si="10"/>
        <v>35.358308623188272</v>
      </c>
      <c r="D244" s="13">
        <v>146074.92586956476</v>
      </c>
      <c r="E244" s="13">
        <v>148074.92586956476</v>
      </c>
      <c r="F244" s="13">
        <v>150074.92586956476</v>
      </c>
      <c r="G244" s="13">
        <v>152074.92586956476</v>
      </c>
      <c r="H244" s="13">
        <v>154074.92586956476</v>
      </c>
      <c r="I244" s="13">
        <v>156074.92586956488</v>
      </c>
      <c r="J244" s="13">
        <v>158074.92586956488</v>
      </c>
      <c r="K244" s="13">
        <v>160074.92586956488</v>
      </c>
      <c r="L244" s="13">
        <v>162074.92586956488</v>
      </c>
      <c r="M244" s="13">
        <v>164074.92586956488</v>
      </c>
      <c r="N244" s="13">
        <v>166074.92586956488</v>
      </c>
      <c r="O244" s="13">
        <v>168074.92586956488</v>
      </c>
      <c r="P244" s="13">
        <v>170074.92586956488</v>
      </c>
      <c r="Q244" s="13">
        <v>172074.92586956488</v>
      </c>
      <c r="R244" s="13">
        <v>174074.92586956488</v>
      </c>
      <c r="S244" s="13">
        <v>176074.92586956488</v>
      </c>
      <c r="T244" s="13">
        <v>174866.46898550622</v>
      </c>
      <c r="U244" s="13">
        <v>171866.46898550622</v>
      </c>
      <c r="V244" s="13">
        <v>168866.46898550622</v>
      </c>
      <c r="W244" s="13">
        <v>165866.46898550622</v>
      </c>
      <c r="X244" s="13">
        <v>162866.46898550622</v>
      </c>
    </row>
    <row r="245" spans="1:24" x14ac:dyDescent="0.35">
      <c r="A245" s="34">
        <v>218</v>
      </c>
      <c r="B245" s="2">
        <v>0.55785623937045259</v>
      </c>
      <c r="C245" s="91">
        <f t="shared" si="10"/>
        <v>31.455362193383589</v>
      </c>
      <c r="D245" s="13">
        <v>134366.08658015076</v>
      </c>
      <c r="E245" s="13">
        <v>136366.08658015076</v>
      </c>
      <c r="F245" s="13">
        <v>138366.08658015076</v>
      </c>
      <c r="G245" s="13">
        <v>140366.08658015076</v>
      </c>
      <c r="H245" s="13">
        <v>142366.08658015076</v>
      </c>
      <c r="I245" s="13">
        <v>144366.08658015076</v>
      </c>
      <c r="J245" s="13">
        <v>146366.08658015076</v>
      </c>
      <c r="K245" s="13">
        <v>148366.08658015076</v>
      </c>
      <c r="L245" s="13">
        <v>150366.08658015076</v>
      </c>
      <c r="M245" s="13">
        <v>152366.08658015076</v>
      </c>
      <c r="N245" s="13">
        <v>154366.08658015076</v>
      </c>
      <c r="O245" s="13">
        <v>156366.08658015076</v>
      </c>
      <c r="P245" s="13">
        <v>155642.89754706866</v>
      </c>
      <c r="Q245" s="13">
        <v>152642.89754706866</v>
      </c>
      <c r="R245" s="13">
        <v>149642.89754706866</v>
      </c>
      <c r="S245" s="13">
        <v>146642.89754706866</v>
      </c>
      <c r="T245" s="13">
        <v>143642.89754706866</v>
      </c>
      <c r="U245" s="13">
        <v>140642.89754706866</v>
      </c>
      <c r="V245" s="13">
        <v>137642.89754706866</v>
      </c>
      <c r="W245" s="13">
        <v>134642.89754706866</v>
      </c>
      <c r="X245" s="13">
        <v>131642.89754706866</v>
      </c>
    </row>
    <row r="246" spans="1:24" x14ac:dyDescent="0.35">
      <c r="A246" s="34">
        <v>219</v>
      </c>
      <c r="B246" s="2">
        <v>0.4468123247832072</v>
      </c>
      <c r="C246" s="91">
        <f t="shared" si="10"/>
        <v>28.662808347179123</v>
      </c>
      <c r="D246" s="13">
        <v>125988.42504153738</v>
      </c>
      <c r="E246" s="13">
        <v>127988.42504153738</v>
      </c>
      <c r="F246" s="13">
        <v>129988.42504153738</v>
      </c>
      <c r="G246" s="13">
        <v>131988.42504153738</v>
      </c>
      <c r="H246" s="13">
        <v>133988.42504153738</v>
      </c>
      <c r="I246" s="13">
        <v>135988.42504153738</v>
      </c>
      <c r="J246" s="13">
        <v>137988.42504153738</v>
      </c>
      <c r="K246" s="13">
        <v>139988.42504153738</v>
      </c>
      <c r="L246" s="13">
        <v>141988.42504153738</v>
      </c>
      <c r="M246" s="13">
        <v>142302.46677743294</v>
      </c>
      <c r="N246" s="13">
        <v>139302.46677743294</v>
      </c>
      <c r="O246" s="13">
        <v>136302.46677743294</v>
      </c>
      <c r="P246" s="13">
        <v>133302.46677743294</v>
      </c>
      <c r="Q246" s="13">
        <v>130302.46677743294</v>
      </c>
      <c r="R246" s="13">
        <v>127302.46677743294</v>
      </c>
      <c r="S246" s="13">
        <v>124302.46677743294</v>
      </c>
      <c r="T246" s="13">
        <v>121302.46677743294</v>
      </c>
      <c r="U246" s="13">
        <v>118302.46677743294</v>
      </c>
      <c r="V246" s="13">
        <v>115302.46677743294</v>
      </c>
      <c r="W246" s="13">
        <v>112302.46677743294</v>
      </c>
      <c r="X246" s="13">
        <v>109302.46677743294</v>
      </c>
    </row>
    <row r="247" spans="1:24" x14ac:dyDescent="0.35">
      <c r="A247" s="34">
        <v>220</v>
      </c>
      <c r="B247" s="2">
        <v>0.54766399013849509</v>
      </c>
      <c r="C247" s="91">
        <f t="shared" si="10"/>
        <v>31.197615772531972</v>
      </c>
      <c r="D247" s="13">
        <v>133592.84731759597</v>
      </c>
      <c r="E247" s="13">
        <v>135592.84731759597</v>
      </c>
      <c r="F247" s="13">
        <v>137592.84731759597</v>
      </c>
      <c r="G247" s="13">
        <v>139592.84731759597</v>
      </c>
      <c r="H247" s="13">
        <v>141592.84731759597</v>
      </c>
      <c r="I247" s="13">
        <v>143592.84731759597</v>
      </c>
      <c r="J247" s="13">
        <v>145592.84731759597</v>
      </c>
      <c r="K247" s="13">
        <v>147592.84731759597</v>
      </c>
      <c r="L247" s="13">
        <v>149592.84731759597</v>
      </c>
      <c r="M247" s="13">
        <v>151592.84731759597</v>
      </c>
      <c r="N247" s="13">
        <v>153592.84731759597</v>
      </c>
      <c r="O247" s="13">
        <v>155592.84731759597</v>
      </c>
      <c r="P247" s="13">
        <v>153580.92618025583</v>
      </c>
      <c r="Q247" s="13">
        <v>150580.92618025583</v>
      </c>
      <c r="R247" s="13">
        <v>147580.92618025583</v>
      </c>
      <c r="S247" s="13">
        <v>144580.92618025583</v>
      </c>
      <c r="T247" s="13">
        <v>141580.92618025583</v>
      </c>
      <c r="U247" s="13">
        <v>138580.92618025583</v>
      </c>
      <c r="V247" s="13">
        <v>135580.92618025583</v>
      </c>
      <c r="W247" s="13">
        <v>132580.92618025583</v>
      </c>
      <c r="X247" s="13">
        <v>129580.92618025583</v>
      </c>
    </row>
    <row r="248" spans="1:24" x14ac:dyDescent="0.35">
      <c r="A248" s="34">
        <v>221</v>
      </c>
      <c r="B248" s="2">
        <v>0.3392567273888778</v>
      </c>
      <c r="C248" s="91">
        <f t="shared" si="10"/>
        <v>25.855074948103827</v>
      </c>
      <c r="D248" s="13">
        <v>117565.22484431148</v>
      </c>
      <c r="E248" s="13">
        <v>119565.22484431148</v>
      </c>
      <c r="F248" s="13">
        <v>121565.22484431148</v>
      </c>
      <c r="G248" s="13">
        <v>123565.22484431154</v>
      </c>
      <c r="H248" s="13">
        <v>125565.22484431154</v>
      </c>
      <c r="I248" s="13">
        <v>127565.22484431154</v>
      </c>
      <c r="J248" s="13">
        <v>128840.59958483069</v>
      </c>
      <c r="K248" s="13">
        <v>125840.59958483069</v>
      </c>
      <c r="L248" s="13">
        <v>122840.59958483069</v>
      </c>
      <c r="M248" s="13">
        <v>119840.59958483069</v>
      </c>
      <c r="N248" s="13">
        <v>116840.59958483069</v>
      </c>
      <c r="O248" s="13">
        <v>113840.59958483069</v>
      </c>
      <c r="P248" s="13">
        <v>110840.59958483069</v>
      </c>
      <c r="Q248" s="13">
        <v>107840.59958483069</v>
      </c>
      <c r="R248" s="13">
        <v>104840.59958483069</v>
      </c>
      <c r="S248" s="13">
        <v>101840.59958483069</v>
      </c>
      <c r="T248" s="13">
        <v>98840.599584830692</v>
      </c>
      <c r="U248" s="13">
        <v>95840.599584830692</v>
      </c>
      <c r="V248" s="13">
        <v>92840.599584830692</v>
      </c>
      <c r="W248" s="13">
        <v>89840.599584830692</v>
      </c>
      <c r="X248" s="13">
        <v>86840.599584830692</v>
      </c>
    </row>
    <row r="249" spans="1:24" x14ac:dyDescent="0.35">
      <c r="A249" s="34">
        <v>222</v>
      </c>
      <c r="B249" s="2">
        <v>0.1679236962023114</v>
      </c>
      <c r="C249" s="91">
        <f t="shared" si="10"/>
        <v>20.3759736865319</v>
      </c>
      <c r="D249" s="13">
        <v>101127.92105959571</v>
      </c>
      <c r="E249" s="13">
        <v>100007.78949225525</v>
      </c>
      <c r="F249" s="13">
        <v>97007.789492255193</v>
      </c>
      <c r="G249" s="13">
        <v>94007.789492255193</v>
      </c>
      <c r="H249" s="13">
        <v>91007.789492255193</v>
      </c>
      <c r="I249" s="13">
        <v>88007.789492255193</v>
      </c>
      <c r="J249" s="13">
        <v>85007.789492255193</v>
      </c>
      <c r="K249" s="13">
        <v>82007.789492255193</v>
      </c>
      <c r="L249" s="13">
        <v>79007.789492255193</v>
      </c>
      <c r="M249" s="13">
        <v>76007.789492255193</v>
      </c>
      <c r="N249" s="13">
        <v>73007.789492255193</v>
      </c>
      <c r="O249" s="13">
        <v>70007.789492255193</v>
      </c>
      <c r="P249" s="13">
        <v>67007.789492255193</v>
      </c>
      <c r="Q249" s="13">
        <v>64007.789492255193</v>
      </c>
      <c r="R249" s="13">
        <v>61007.789492255193</v>
      </c>
      <c r="S249" s="13">
        <v>58007.789492255193</v>
      </c>
      <c r="T249" s="13">
        <v>55007.78949225531</v>
      </c>
      <c r="U249" s="13">
        <v>52007.78949225531</v>
      </c>
      <c r="V249" s="13">
        <v>49007.78949225531</v>
      </c>
      <c r="W249" s="13">
        <v>46007.78949225531</v>
      </c>
      <c r="X249" s="13">
        <v>43007.78949225531</v>
      </c>
    </row>
    <row r="250" spans="1:24" x14ac:dyDescent="0.35">
      <c r="A250" s="34">
        <v>223</v>
      </c>
      <c r="B250" s="2">
        <v>0.3550605546743576</v>
      </c>
      <c r="C250" s="91">
        <f t="shared" si="10"/>
        <v>26.283065594413284</v>
      </c>
      <c r="D250" s="13">
        <v>118849.19678323984</v>
      </c>
      <c r="E250" s="13">
        <v>120849.19678323984</v>
      </c>
      <c r="F250" s="13">
        <v>122849.19678323984</v>
      </c>
      <c r="G250" s="13">
        <v>124849.19678323984</v>
      </c>
      <c r="H250" s="13">
        <v>126849.19678323984</v>
      </c>
      <c r="I250" s="13">
        <v>128849.19678323984</v>
      </c>
      <c r="J250" s="13">
        <v>130849.19678323984</v>
      </c>
      <c r="K250" s="13">
        <v>129264.52475530631</v>
      </c>
      <c r="L250" s="13">
        <v>126264.52475530631</v>
      </c>
      <c r="M250" s="13">
        <v>123264.52475530631</v>
      </c>
      <c r="N250" s="13">
        <v>120264.52475530631</v>
      </c>
      <c r="O250" s="13">
        <v>117264.52475530631</v>
      </c>
      <c r="P250" s="13">
        <v>114264.52475530631</v>
      </c>
      <c r="Q250" s="13">
        <v>111264.52475530631</v>
      </c>
      <c r="R250" s="13">
        <v>108264.52475530631</v>
      </c>
      <c r="S250" s="13">
        <v>105264.52475530631</v>
      </c>
      <c r="T250" s="13">
        <v>102264.52475530631</v>
      </c>
      <c r="U250" s="13">
        <v>99264.524755306309</v>
      </c>
      <c r="V250" s="13">
        <v>96264.524755306309</v>
      </c>
      <c r="W250" s="13">
        <v>93264.524755306309</v>
      </c>
      <c r="X250" s="13">
        <v>90264.524755306309</v>
      </c>
    </row>
    <row r="251" spans="1:24" x14ac:dyDescent="0.35">
      <c r="A251" s="34">
        <v>224</v>
      </c>
      <c r="B251" s="2">
        <v>0.26950895492133131</v>
      </c>
      <c r="C251" s="91">
        <f t="shared" si="10"/>
        <v>23.857012218962893</v>
      </c>
      <c r="D251" s="13">
        <v>111571.03665688867</v>
      </c>
      <c r="E251" s="13">
        <v>113571.03665688867</v>
      </c>
      <c r="F251" s="13">
        <v>115571.03665688867</v>
      </c>
      <c r="G251" s="13">
        <v>117571.03665688867</v>
      </c>
      <c r="H251" s="13">
        <v>118856.09775170311</v>
      </c>
      <c r="I251" s="13">
        <v>115856.09775170311</v>
      </c>
      <c r="J251" s="13">
        <v>112856.09775170311</v>
      </c>
      <c r="K251" s="13">
        <v>109856.09775170311</v>
      </c>
      <c r="L251" s="13">
        <v>106856.09775170311</v>
      </c>
      <c r="M251" s="13">
        <v>103856.09775170311</v>
      </c>
      <c r="N251" s="13">
        <v>100856.09775170311</v>
      </c>
      <c r="O251" s="13">
        <v>97856.097751703113</v>
      </c>
      <c r="P251" s="13">
        <v>94856.097751703113</v>
      </c>
      <c r="Q251" s="13">
        <v>91856.097751703113</v>
      </c>
      <c r="R251" s="13">
        <v>88856.097751703113</v>
      </c>
      <c r="S251" s="13">
        <v>85856.097751703113</v>
      </c>
      <c r="T251" s="13">
        <v>82856.097751703113</v>
      </c>
      <c r="U251" s="13">
        <v>79856.097751703113</v>
      </c>
      <c r="V251" s="13">
        <v>76856.097751703113</v>
      </c>
      <c r="W251" s="13">
        <v>73856.097751703113</v>
      </c>
      <c r="X251" s="13">
        <v>70856.097751703113</v>
      </c>
    </row>
    <row r="252" spans="1:24" x14ac:dyDescent="0.35">
      <c r="A252" s="34">
        <v>225</v>
      </c>
      <c r="B252" s="2">
        <v>1.7164016663116954E-2</v>
      </c>
      <c r="C252" s="91">
        <f t="shared" si="10"/>
        <v>8.8380273011715573</v>
      </c>
      <c r="D252" s="13">
        <v>10704.218409372494</v>
      </c>
      <c r="E252" s="13">
        <v>7704.2184093724936</v>
      </c>
      <c r="F252" s="13">
        <v>4704.2184093724936</v>
      </c>
      <c r="G252" s="13">
        <v>1704.2184093724936</v>
      </c>
      <c r="H252" s="13">
        <v>-1295.7815906275064</v>
      </c>
      <c r="I252" s="13">
        <v>-4295.7815906275646</v>
      </c>
      <c r="J252" s="13">
        <v>-7295.7815906275646</v>
      </c>
      <c r="K252" s="13">
        <v>-10295.781590627506</v>
      </c>
      <c r="L252" s="13">
        <v>-13295.781590627506</v>
      </c>
      <c r="M252" s="13">
        <v>-16295.781590627506</v>
      </c>
      <c r="N252" s="13">
        <v>-19295.781590627506</v>
      </c>
      <c r="O252" s="13">
        <v>-22295.781590627506</v>
      </c>
      <c r="P252" s="13">
        <v>-25295.781590627506</v>
      </c>
      <c r="Q252" s="13">
        <v>-28295.781590627506</v>
      </c>
      <c r="R252" s="13">
        <v>-31295.781590627506</v>
      </c>
      <c r="S252" s="13">
        <v>-34295.781590627506</v>
      </c>
      <c r="T252" s="13">
        <v>-37295.781590627506</v>
      </c>
      <c r="U252" s="13">
        <v>-40295.781590627506</v>
      </c>
      <c r="V252" s="13">
        <v>-43295.781590627506</v>
      </c>
      <c r="W252" s="13">
        <v>-46295.781590627506</v>
      </c>
      <c r="X252" s="13">
        <v>-49295.781590627506</v>
      </c>
    </row>
    <row r="253" spans="1:24" x14ac:dyDescent="0.35">
      <c r="A253" s="34">
        <v>226</v>
      </c>
      <c r="B253" s="2">
        <v>0.69114452093325407</v>
      </c>
      <c r="C253" s="91">
        <f t="shared" si="10"/>
        <v>34.990971316951125</v>
      </c>
      <c r="D253" s="13">
        <v>144972.91395085328</v>
      </c>
      <c r="E253" s="13">
        <v>146972.91395085328</v>
      </c>
      <c r="F253" s="13">
        <v>148972.91395085328</v>
      </c>
      <c r="G253" s="13">
        <v>150972.91395085328</v>
      </c>
      <c r="H253" s="13">
        <v>152972.91395085328</v>
      </c>
      <c r="I253" s="13">
        <v>154972.91395085328</v>
      </c>
      <c r="J253" s="13">
        <v>156972.91395085328</v>
      </c>
      <c r="K253" s="13">
        <v>158972.91395085328</v>
      </c>
      <c r="L253" s="13">
        <v>160972.91395085328</v>
      </c>
      <c r="M253" s="13">
        <v>162972.91395085328</v>
      </c>
      <c r="N253" s="13">
        <v>164972.9139508534</v>
      </c>
      <c r="O253" s="13">
        <v>166972.9139508534</v>
      </c>
      <c r="P253" s="13">
        <v>168972.9139508534</v>
      </c>
      <c r="Q253" s="13">
        <v>170972.9139508534</v>
      </c>
      <c r="R253" s="13">
        <v>172972.9139508534</v>
      </c>
      <c r="S253" s="13">
        <v>174927.7705356091</v>
      </c>
      <c r="T253" s="13">
        <v>171927.77053560899</v>
      </c>
      <c r="U253" s="13">
        <v>168927.77053560899</v>
      </c>
      <c r="V253" s="13">
        <v>165927.77053560899</v>
      </c>
      <c r="W253" s="13">
        <v>162927.77053560899</v>
      </c>
      <c r="X253" s="13">
        <v>159927.77053560899</v>
      </c>
    </row>
    <row r="254" spans="1:24" x14ac:dyDescent="0.35">
      <c r="A254" s="34">
        <v>227</v>
      </c>
      <c r="B254" s="2">
        <v>0.98775747524357238</v>
      </c>
      <c r="C254" s="91">
        <f t="shared" si="10"/>
        <v>52.494316080826479</v>
      </c>
      <c r="D254" s="13">
        <v>197482.94824247947</v>
      </c>
      <c r="E254" s="13">
        <v>199482.94824247947</v>
      </c>
      <c r="F254" s="13">
        <v>201482.94824247947</v>
      </c>
      <c r="G254" s="13">
        <v>203482.94824247947</v>
      </c>
      <c r="H254" s="13">
        <v>205482.94824247947</v>
      </c>
      <c r="I254" s="13">
        <v>207482.94824247947</v>
      </c>
      <c r="J254" s="13">
        <v>209482.94824247947</v>
      </c>
      <c r="K254" s="13">
        <v>211482.94824247947</v>
      </c>
      <c r="L254" s="13">
        <v>213482.94824247947</v>
      </c>
      <c r="M254" s="13">
        <v>215482.94824247947</v>
      </c>
      <c r="N254" s="13">
        <v>217482.94824247947</v>
      </c>
      <c r="O254" s="13">
        <v>219482.94824247947</v>
      </c>
      <c r="P254" s="13">
        <v>221482.94824247947</v>
      </c>
      <c r="Q254" s="13">
        <v>223482.94824247947</v>
      </c>
      <c r="R254" s="13">
        <v>225482.94824247947</v>
      </c>
      <c r="S254" s="13">
        <v>227482.94824247947</v>
      </c>
      <c r="T254" s="13">
        <v>229482.94824247947</v>
      </c>
      <c r="U254" s="13">
        <v>231482.94824247947</v>
      </c>
      <c r="V254" s="13">
        <v>233482.94824247947</v>
      </c>
      <c r="W254" s="13">
        <v>235482.94824247947</v>
      </c>
      <c r="X254" s="13">
        <v>237482.94824247947</v>
      </c>
    </row>
    <row r="255" spans="1:24" x14ac:dyDescent="0.35">
      <c r="A255" s="34">
        <v>228</v>
      </c>
      <c r="B255" s="2">
        <v>0.43212853911893845</v>
      </c>
      <c r="C255" s="91">
        <f t="shared" si="10"/>
        <v>28.290423659602986</v>
      </c>
      <c r="D255" s="13">
        <v>124871.27097880899</v>
      </c>
      <c r="E255" s="13">
        <v>126871.27097880899</v>
      </c>
      <c r="F255" s="13">
        <v>128871.27097880899</v>
      </c>
      <c r="G255" s="13">
        <v>130871.27097880899</v>
      </c>
      <c r="H255" s="13">
        <v>132871.27097880899</v>
      </c>
      <c r="I255" s="13">
        <v>134871.27097880899</v>
      </c>
      <c r="J255" s="13">
        <v>136871.27097880899</v>
      </c>
      <c r="K255" s="13">
        <v>138871.27097880899</v>
      </c>
      <c r="L255" s="13">
        <v>140871.27097880899</v>
      </c>
      <c r="M255" s="13">
        <v>139323.38927682384</v>
      </c>
      <c r="N255" s="13">
        <v>136323.38927682384</v>
      </c>
      <c r="O255" s="13">
        <v>133323.38927682384</v>
      </c>
      <c r="P255" s="13">
        <v>130323.38927682384</v>
      </c>
      <c r="Q255" s="13">
        <v>127323.38927682384</v>
      </c>
      <c r="R255" s="13">
        <v>124323.38927682384</v>
      </c>
      <c r="S255" s="13">
        <v>121323.38927682384</v>
      </c>
      <c r="T255" s="13">
        <v>118323.38927682384</v>
      </c>
      <c r="U255" s="13">
        <v>115323.38927682384</v>
      </c>
      <c r="V255" s="13">
        <v>112323.38927682384</v>
      </c>
      <c r="W255" s="13">
        <v>109323.38927682384</v>
      </c>
      <c r="X255" s="13">
        <v>106323.38927682384</v>
      </c>
    </row>
    <row r="256" spans="1:24" x14ac:dyDescent="0.35">
      <c r="A256" s="34">
        <v>229</v>
      </c>
      <c r="B256" s="2">
        <v>0.54535185318042279</v>
      </c>
      <c r="C256" s="91">
        <f t="shared" si="10"/>
        <v>31.139262032105336</v>
      </c>
      <c r="D256" s="13">
        <v>133417.78609631606</v>
      </c>
      <c r="E256" s="13">
        <v>135417.78609631606</v>
      </c>
      <c r="F256" s="13">
        <v>137417.78609631606</v>
      </c>
      <c r="G256" s="13">
        <v>139417.78609631606</v>
      </c>
      <c r="H256" s="13">
        <v>141417.78609631606</v>
      </c>
      <c r="I256" s="13">
        <v>143417.78609631606</v>
      </c>
      <c r="J256" s="13">
        <v>145417.78609631606</v>
      </c>
      <c r="K256" s="13">
        <v>147417.78609631606</v>
      </c>
      <c r="L256" s="13">
        <v>149417.78609631606</v>
      </c>
      <c r="M256" s="13">
        <v>151417.78609631606</v>
      </c>
      <c r="N256" s="13">
        <v>153417.78609631606</v>
      </c>
      <c r="O256" s="13">
        <v>155417.78609631606</v>
      </c>
      <c r="P256" s="13">
        <v>153114.09625684272</v>
      </c>
      <c r="Q256" s="13">
        <v>150114.09625684272</v>
      </c>
      <c r="R256" s="13">
        <v>147114.09625684272</v>
      </c>
      <c r="S256" s="13">
        <v>144114.09625684272</v>
      </c>
      <c r="T256" s="13">
        <v>141114.09625684272</v>
      </c>
      <c r="U256" s="13">
        <v>138114.09625684272</v>
      </c>
      <c r="V256" s="13">
        <v>135114.09625684272</v>
      </c>
      <c r="W256" s="13">
        <v>132114.09625684272</v>
      </c>
      <c r="X256" s="13">
        <v>129114.09625684272</v>
      </c>
    </row>
    <row r="257" spans="1:24" x14ac:dyDescent="0.35">
      <c r="A257" s="34">
        <v>230</v>
      </c>
      <c r="B257" s="2">
        <v>0.67455058245007871</v>
      </c>
      <c r="C257" s="91">
        <f t="shared" si="10"/>
        <v>34.525138650450174</v>
      </c>
      <c r="D257" s="13">
        <v>143575.41595135059</v>
      </c>
      <c r="E257" s="13">
        <v>145575.41595135059</v>
      </c>
      <c r="F257" s="13">
        <v>147575.41595135059</v>
      </c>
      <c r="G257" s="13">
        <v>149575.41595135059</v>
      </c>
      <c r="H257" s="13">
        <v>151575.41595135059</v>
      </c>
      <c r="I257" s="13">
        <v>153575.41595135059</v>
      </c>
      <c r="J257" s="13">
        <v>155575.41595135059</v>
      </c>
      <c r="K257" s="13">
        <v>157575.41595135059</v>
      </c>
      <c r="L257" s="13">
        <v>159575.41595135059</v>
      </c>
      <c r="M257" s="13">
        <v>161575.41595135059</v>
      </c>
      <c r="N257" s="13">
        <v>163575.41595135059</v>
      </c>
      <c r="O257" s="13">
        <v>165575.41595135059</v>
      </c>
      <c r="P257" s="13">
        <v>167575.41595135059</v>
      </c>
      <c r="Q257" s="13">
        <v>169575.41595135059</v>
      </c>
      <c r="R257" s="13">
        <v>171575.41595135059</v>
      </c>
      <c r="S257" s="13">
        <v>171201.10920360149</v>
      </c>
      <c r="T257" s="13">
        <v>168201.10920360149</v>
      </c>
      <c r="U257" s="13">
        <v>165201.10920360149</v>
      </c>
      <c r="V257" s="13">
        <v>162201.10920360149</v>
      </c>
      <c r="W257" s="13">
        <v>159201.10920360149</v>
      </c>
      <c r="X257" s="13">
        <v>156201.10920360149</v>
      </c>
    </row>
    <row r="258" spans="1:24" x14ac:dyDescent="0.35">
      <c r="A258" s="34">
        <v>231</v>
      </c>
      <c r="B258" s="2">
        <v>0.97229115671077704</v>
      </c>
      <c r="C258" s="91">
        <f t="shared" si="10"/>
        <v>49.155869921603369</v>
      </c>
      <c r="D258" s="13">
        <v>187467.60976481019</v>
      </c>
      <c r="E258" s="13">
        <v>189467.60976481019</v>
      </c>
      <c r="F258" s="13">
        <v>191467.60976481019</v>
      </c>
      <c r="G258" s="13">
        <v>193467.60976481019</v>
      </c>
      <c r="H258" s="13">
        <v>195467.60976481019</v>
      </c>
      <c r="I258" s="13">
        <v>197467.60976481019</v>
      </c>
      <c r="J258" s="13">
        <v>199467.60976481019</v>
      </c>
      <c r="K258" s="13">
        <v>201467.60976481019</v>
      </c>
      <c r="L258" s="13">
        <v>203467.60976481019</v>
      </c>
      <c r="M258" s="13">
        <v>205467.60976481019</v>
      </c>
      <c r="N258" s="13">
        <v>207467.60976481019</v>
      </c>
      <c r="O258" s="13">
        <v>209467.60976481019</v>
      </c>
      <c r="P258" s="13">
        <v>211467.60976481019</v>
      </c>
      <c r="Q258" s="13">
        <v>213467.60976481019</v>
      </c>
      <c r="R258" s="13">
        <v>215467.60976481019</v>
      </c>
      <c r="S258" s="13">
        <v>217467.60976481019</v>
      </c>
      <c r="T258" s="13">
        <v>219467.60976481019</v>
      </c>
      <c r="U258" s="13">
        <v>221467.60976481019</v>
      </c>
      <c r="V258" s="13">
        <v>223467.60976481019</v>
      </c>
      <c r="W258" s="13">
        <v>225467.60976481019</v>
      </c>
      <c r="X258" s="13">
        <v>227467.60976481019</v>
      </c>
    </row>
    <row r="259" spans="1:24" x14ac:dyDescent="0.35">
      <c r="A259" s="34">
        <v>232</v>
      </c>
      <c r="B259" s="2">
        <v>0.22413238138022429</v>
      </c>
      <c r="C259" s="91">
        <f t="shared" si="10"/>
        <v>22.416888982910177</v>
      </c>
      <c r="D259" s="13">
        <v>107250.66694873059</v>
      </c>
      <c r="E259" s="13">
        <v>109250.66694873059</v>
      </c>
      <c r="F259" s="13">
        <v>111250.66694873059</v>
      </c>
      <c r="G259" s="13">
        <v>110335.11186328146</v>
      </c>
      <c r="H259" s="13">
        <v>107335.11186328146</v>
      </c>
      <c r="I259" s="13">
        <v>104335.11186328146</v>
      </c>
      <c r="J259" s="13">
        <v>101335.11186328146</v>
      </c>
      <c r="K259" s="13">
        <v>98335.111863281461</v>
      </c>
      <c r="L259" s="13">
        <v>95335.111863281461</v>
      </c>
      <c r="M259" s="13">
        <v>92335.111863281461</v>
      </c>
      <c r="N259" s="13">
        <v>89335.111863281461</v>
      </c>
      <c r="O259" s="13">
        <v>86335.111863281461</v>
      </c>
      <c r="P259" s="13">
        <v>83335.111863281461</v>
      </c>
      <c r="Q259" s="13">
        <v>80335.111863281461</v>
      </c>
      <c r="R259" s="13">
        <v>77335.111863281461</v>
      </c>
      <c r="S259" s="13">
        <v>74335.111863281461</v>
      </c>
      <c r="T259" s="13">
        <v>71335.111863281461</v>
      </c>
      <c r="U259" s="13">
        <v>68335.111863281461</v>
      </c>
      <c r="V259" s="13">
        <v>65335.111863281461</v>
      </c>
      <c r="W259" s="13">
        <v>62335.111863281461</v>
      </c>
      <c r="X259" s="13">
        <v>59335.111863281461</v>
      </c>
    </row>
    <row r="260" spans="1:24" x14ac:dyDescent="0.35">
      <c r="A260" s="34">
        <v>233</v>
      </c>
      <c r="B260" s="2">
        <v>0.94653648581108185</v>
      </c>
      <c r="C260" s="91">
        <f t="shared" si="10"/>
        <v>46.121604535693656</v>
      </c>
      <c r="D260" s="13">
        <v>178364.81360708096</v>
      </c>
      <c r="E260" s="13">
        <v>180364.81360708096</v>
      </c>
      <c r="F260" s="13">
        <v>182364.81360708096</v>
      </c>
      <c r="G260" s="13">
        <v>184364.81360708096</v>
      </c>
      <c r="H260" s="13">
        <v>186364.81360708096</v>
      </c>
      <c r="I260" s="13">
        <v>188364.81360708096</v>
      </c>
      <c r="J260" s="13">
        <v>190364.81360708096</v>
      </c>
      <c r="K260" s="13">
        <v>192364.81360708096</v>
      </c>
      <c r="L260" s="13">
        <v>194364.81360708096</v>
      </c>
      <c r="M260" s="13">
        <v>196364.81360708096</v>
      </c>
      <c r="N260" s="13">
        <v>198364.81360708096</v>
      </c>
      <c r="O260" s="13">
        <v>200364.81360708096</v>
      </c>
      <c r="P260" s="13">
        <v>202364.81360708096</v>
      </c>
      <c r="Q260" s="13">
        <v>204364.81360708096</v>
      </c>
      <c r="R260" s="13">
        <v>206364.81360708096</v>
      </c>
      <c r="S260" s="13">
        <v>208364.81360708096</v>
      </c>
      <c r="T260" s="13">
        <v>210364.81360708096</v>
      </c>
      <c r="U260" s="13">
        <v>212364.81360708096</v>
      </c>
      <c r="V260" s="13">
        <v>214364.81360708096</v>
      </c>
      <c r="W260" s="13">
        <v>216364.81360708096</v>
      </c>
      <c r="X260" s="13">
        <v>218364.81360708096</v>
      </c>
    </row>
    <row r="261" spans="1:24" x14ac:dyDescent="0.35">
      <c r="A261" s="34">
        <v>234</v>
      </c>
      <c r="B261" s="2">
        <v>0.88246969940777553</v>
      </c>
      <c r="C261" s="91">
        <f t="shared" si="10"/>
        <v>41.874235352527528</v>
      </c>
      <c r="D261" s="13">
        <v>165622.70605758252</v>
      </c>
      <c r="E261" s="13">
        <v>167622.70605758252</v>
      </c>
      <c r="F261" s="13">
        <v>169622.70605758252</v>
      </c>
      <c r="G261" s="13">
        <v>171622.70605758252</v>
      </c>
      <c r="H261" s="13">
        <v>173622.70605758252</v>
      </c>
      <c r="I261" s="13">
        <v>175622.70605758252</v>
      </c>
      <c r="J261" s="13">
        <v>177622.70605758252</v>
      </c>
      <c r="K261" s="13">
        <v>179622.70605758252</v>
      </c>
      <c r="L261" s="13">
        <v>181622.70605758252</v>
      </c>
      <c r="M261" s="13">
        <v>183622.70605758252</v>
      </c>
      <c r="N261" s="13">
        <v>185622.70605758252</v>
      </c>
      <c r="O261" s="13">
        <v>187622.70605758252</v>
      </c>
      <c r="P261" s="13">
        <v>189622.70605758252</v>
      </c>
      <c r="Q261" s="13">
        <v>191622.70605758252</v>
      </c>
      <c r="R261" s="13">
        <v>193622.70605758252</v>
      </c>
      <c r="S261" s="13">
        <v>195622.70605758252</v>
      </c>
      <c r="T261" s="13">
        <v>197622.70605758252</v>
      </c>
      <c r="U261" s="13">
        <v>199622.70605758252</v>
      </c>
      <c r="V261" s="13">
        <v>201622.70605758252</v>
      </c>
      <c r="W261" s="13">
        <v>203622.70605758252</v>
      </c>
      <c r="X261" s="13">
        <v>205622.70605758252</v>
      </c>
    </row>
    <row r="262" spans="1:24" x14ac:dyDescent="0.35">
      <c r="A262" s="34">
        <v>235</v>
      </c>
      <c r="B262" s="2">
        <v>0.82471591457252758</v>
      </c>
      <c r="C262" s="91">
        <f t="shared" si="10"/>
        <v>39.334877917721258</v>
      </c>
      <c r="D262" s="13">
        <v>158004.63375316374</v>
      </c>
      <c r="E262" s="13">
        <v>160004.63375316374</v>
      </c>
      <c r="F262" s="13">
        <v>162004.63375316374</v>
      </c>
      <c r="G262" s="13">
        <v>164004.63375316374</v>
      </c>
      <c r="H262" s="13">
        <v>166004.63375316374</v>
      </c>
      <c r="I262" s="13">
        <v>168004.63375316374</v>
      </c>
      <c r="J262" s="13">
        <v>170004.63375316374</v>
      </c>
      <c r="K262" s="13">
        <v>172004.63375316374</v>
      </c>
      <c r="L262" s="13">
        <v>174004.63375316374</v>
      </c>
      <c r="M262" s="13">
        <v>176004.63375316374</v>
      </c>
      <c r="N262" s="13">
        <v>178004.63375316374</v>
      </c>
      <c r="O262" s="13">
        <v>180004.63375316374</v>
      </c>
      <c r="P262" s="13">
        <v>182004.63375316374</v>
      </c>
      <c r="Q262" s="13">
        <v>184004.63375316374</v>
      </c>
      <c r="R262" s="13">
        <v>186004.63375316374</v>
      </c>
      <c r="S262" s="13">
        <v>188004.63375316374</v>
      </c>
      <c r="T262" s="13">
        <v>190004.63375316374</v>
      </c>
      <c r="U262" s="13">
        <v>192004.63375316374</v>
      </c>
      <c r="V262" s="13">
        <v>194004.63375316374</v>
      </c>
      <c r="W262" s="13">
        <v>196004.63375316374</v>
      </c>
      <c r="X262" s="13">
        <v>194679.02334177005</v>
      </c>
    </row>
    <row r="263" spans="1:24" x14ac:dyDescent="0.35">
      <c r="A263" s="34">
        <v>236</v>
      </c>
      <c r="B263" s="2">
        <v>0.15660547180555451</v>
      </c>
      <c r="C263" s="91">
        <f t="shared" si="10"/>
        <v>19.914926137646567</v>
      </c>
      <c r="D263" s="13">
        <v>99319.409101172525</v>
      </c>
      <c r="E263" s="13">
        <v>96319.409101172525</v>
      </c>
      <c r="F263" s="13">
        <v>93319.409101172583</v>
      </c>
      <c r="G263" s="13">
        <v>90319.409101172583</v>
      </c>
      <c r="H263" s="13">
        <v>87319.409101172583</v>
      </c>
      <c r="I263" s="13">
        <v>84319.409101172583</v>
      </c>
      <c r="J263" s="13">
        <v>81319.409101172583</v>
      </c>
      <c r="K263" s="13">
        <v>78319.409101172583</v>
      </c>
      <c r="L263" s="13">
        <v>75319.409101172583</v>
      </c>
      <c r="M263" s="13">
        <v>72319.409101172583</v>
      </c>
      <c r="N263" s="13">
        <v>69319.409101172583</v>
      </c>
      <c r="O263" s="13">
        <v>66319.409101172583</v>
      </c>
      <c r="P263" s="13">
        <v>63319.409101172583</v>
      </c>
      <c r="Q263" s="13">
        <v>60319.409101172583</v>
      </c>
      <c r="R263" s="13">
        <v>57319.409101172583</v>
      </c>
      <c r="S263" s="13">
        <v>54319.409101172583</v>
      </c>
      <c r="T263" s="13">
        <v>51319.409101172583</v>
      </c>
      <c r="U263" s="13">
        <v>48319.409101172583</v>
      </c>
      <c r="V263" s="13">
        <v>45319.409101172583</v>
      </c>
      <c r="W263" s="13">
        <v>42319.409101172583</v>
      </c>
      <c r="X263" s="13">
        <v>39319.409101172583</v>
      </c>
    </row>
    <row r="264" spans="1:24" x14ac:dyDescent="0.35">
      <c r="A264" s="34">
        <v>237</v>
      </c>
      <c r="B264" s="2">
        <v>3.4347004494902356E-2</v>
      </c>
      <c r="C264" s="91">
        <f t="shared" si="10"/>
        <v>11.795730341138178</v>
      </c>
      <c r="D264" s="13">
        <v>34365.84272910544</v>
      </c>
      <c r="E264" s="13">
        <v>31365.84272910544</v>
      </c>
      <c r="F264" s="13">
        <v>28365.84272910544</v>
      </c>
      <c r="G264" s="13">
        <v>25365.84272910544</v>
      </c>
      <c r="H264" s="13">
        <v>22365.84272910544</v>
      </c>
      <c r="I264" s="13">
        <v>19365.84272910544</v>
      </c>
      <c r="J264" s="13">
        <v>16365.842729105381</v>
      </c>
      <c r="K264" s="13">
        <v>13365.842729105381</v>
      </c>
      <c r="L264" s="13">
        <v>10365.842729105381</v>
      </c>
      <c r="M264" s="13">
        <v>7365.8427291053813</v>
      </c>
      <c r="N264" s="13">
        <v>4365.8427291053813</v>
      </c>
      <c r="O264" s="13">
        <v>1365.8427291053813</v>
      </c>
      <c r="P264" s="13">
        <v>-1634.1572708946187</v>
      </c>
      <c r="Q264" s="13">
        <v>-4634.1572708946187</v>
      </c>
      <c r="R264" s="13">
        <v>-7634.1572708946187</v>
      </c>
      <c r="S264" s="13">
        <v>-10634.157270894619</v>
      </c>
      <c r="T264" s="13">
        <v>-13634.157270894619</v>
      </c>
      <c r="U264" s="13">
        <v>-16634.157270894619</v>
      </c>
      <c r="V264" s="13">
        <v>-19634.157270894619</v>
      </c>
      <c r="W264" s="13">
        <v>-22634.157270894619</v>
      </c>
      <c r="X264" s="13">
        <v>-25634.157270894619</v>
      </c>
    </row>
    <row r="265" spans="1:24" x14ac:dyDescent="0.35">
      <c r="A265" s="34">
        <v>238</v>
      </c>
      <c r="B265" s="2">
        <v>0.14433113927259922</v>
      </c>
      <c r="C265" s="91">
        <f t="shared" si="10"/>
        <v>19.389392164421601</v>
      </c>
      <c r="D265" s="13">
        <v>95115.13731537282</v>
      </c>
      <c r="E265" s="13">
        <v>92115.13731537282</v>
      </c>
      <c r="F265" s="13">
        <v>89115.13731537282</v>
      </c>
      <c r="G265" s="13">
        <v>86115.13731537282</v>
      </c>
      <c r="H265" s="13">
        <v>83115.13731537282</v>
      </c>
      <c r="I265" s="13">
        <v>80115.13731537282</v>
      </c>
      <c r="J265" s="13">
        <v>77115.13731537282</v>
      </c>
      <c r="K265" s="13">
        <v>74115.13731537282</v>
      </c>
      <c r="L265" s="13">
        <v>71115.13731537282</v>
      </c>
      <c r="M265" s="13">
        <v>68115.13731537282</v>
      </c>
      <c r="N265" s="13">
        <v>65115.13731537282</v>
      </c>
      <c r="O265" s="13">
        <v>62115.13731537282</v>
      </c>
      <c r="P265" s="13">
        <v>59115.13731537282</v>
      </c>
      <c r="Q265" s="13">
        <v>56115.13731537282</v>
      </c>
      <c r="R265" s="13">
        <v>53115.13731537282</v>
      </c>
      <c r="S265" s="13">
        <v>50115.13731537282</v>
      </c>
      <c r="T265" s="13">
        <v>47115.13731537282</v>
      </c>
      <c r="U265" s="13">
        <v>44115.13731537282</v>
      </c>
      <c r="V265" s="13">
        <v>41115.13731537282</v>
      </c>
      <c r="W265" s="13">
        <v>38115.13731537282</v>
      </c>
      <c r="X265" s="13">
        <v>35115.13731537282</v>
      </c>
    </row>
    <row r="266" spans="1:24" x14ac:dyDescent="0.35">
      <c r="A266" s="34">
        <v>239</v>
      </c>
      <c r="B266" s="2">
        <v>0.87148836956917841</v>
      </c>
      <c r="C266" s="91">
        <f t="shared" si="10"/>
        <v>41.334549226933866</v>
      </c>
      <c r="D266" s="13">
        <v>164003.64768080157</v>
      </c>
      <c r="E266" s="13">
        <v>166003.64768080157</v>
      </c>
      <c r="F266" s="13">
        <v>168003.64768080157</v>
      </c>
      <c r="G266" s="13">
        <v>170003.64768080157</v>
      </c>
      <c r="H266" s="13">
        <v>172003.64768080157</v>
      </c>
      <c r="I266" s="13">
        <v>174003.64768080157</v>
      </c>
      <c r="J266" s="13">
        <v>176003.64768080157</v>
      </c>
      <c r="K266" s="13">
        <v>178003.64768080157</v>
      </c>
      <c r="L266" s="13">
        <v>180003.64768080157</v>
      </c>
      <c r="M266" s="13">
        <v>182003.64768080157</v>
      </c>
      <c r="N266" s="13">
        <v>184003.64768080157</v>
      </c>
      <c r="O266" s="13">
        <v>186003.64768080157</v>
      </c>
      <c r="P266" s="13">
        <v>188003.64768080157</v>
      </c>
      <c r="Q266" s="13">
        <v>190003.64768080157</v>
      </c>
      <c r="R266" s="13">
        <v>192003.64768080157</v>
      </c>
      <c r="S266" s="13">
        <v>194003.64768080157</v>
      </c>
      <c r="T266" s="13">
        <v>196003.64768080157</v>
      </c>
      <c r="U266" s="13">
        <v>198003.64768080157</v>
      </c>
      <c r="V266" s="13">
        <v>200003.64768080157</v>
      </c>
      <c r="W266" s="13">
        <v>202003.64768080157</v>
      </c>
      <c r="X266" s="13">
        <v>204003.64768080157</v>
      </c>
    </row>
    <row r="267" spans="1:24" x14ac:dyDescent="0.35">
      <c r="A267" s="34">
        <v>240</v>
      </c>
      <c r="B267" s="2">
        <v>2.5823396725039416E-2</v>
      </c>
      <c r="C267" s="91">
        <f t="shared" si="10"/>
        <v>10.53933844852213</v>
      </c>
      <c r="D267" s="13">
        <v>24314.707588177058</v>
      </c>
      <c r="E267" s="13">
        <v>21314.707588177058</v>
      </c>
      <c r="F267" s="13">
        <v>18314.707588177058</v>
      </c>
      <c r="G267" s="13">
        <v>15314.707588177058</v>
      </c>
      <c r="H267" s="13">
        <v>12314.707588177058</v>
      </c>
      <c r="I267" s="13">
        <v>9314.7075881770579</v>
      </c>
      <c r="J267" s="13">
        <v>6314.7075881770579</v>
      </c>
      <c r="K267" s="13">
        <v>3314.7075881770579</v>
      </c>
      <c r="L267" s="13">
        <v>314.70758817705791</v>
      </c>
      <c r="M267" s="13">
        <v>-2685.2924118229421</v>
      </c>
      <c r="N267" s="13">
        <v>-5685.2924118229421</v>
      </c>
      <c r="O267" s="13">
        <v>-8685.2924118229421</v>
      </c>
      <c r="P267" s="13">
        <v>-11685.292411822942</v>
      </c>
      <c r="Q267" s="13">
        <v>-14685.292411822942</v>
      </c>
      <c r="R267" s="13">
        <v>-17685.292411822942</v>
      </c>
      <c r="S267" s="13">
        <v>-20685.292411822942</v>
      </c>
      <c r="T267" s="13">
        <v>-23685.292411822942</v>
      </c>
      <c r="U267" s="13">
        <v>-26685.292411822942</v>
      </c>
      <c r="V267" s="13">
        <v>-29685.292411822942</v>
      </c>
      <c r="W267" s="13">
        <v>-32685.292411822942</v>
      </c>
      <c r="X267" s="13">
        <v>-35685.292411822942</v>
      </c>
    </row>
    <row r="268" spans="1:24" x14ac:dyDescent="0.35">
      <c r="A268" s="34">
        <v>241</v>
      </c>
      <c r="B268" s="2">
        <v>0.24515232611580406</v>
      </c>
      <c r="C268" s="91">
        <f t="shared" si="10"/>
        <v>23.101756473739758</v>
      </c>
      <c r="D268" s="13">
        <v>109305.26942121924</v>
      </c>
      <c r="E268" s="13">
        <v>111305.26942121924</v>
      </c>
      <c r="F268" s="13">
        <v>113305.26942121924</v>
      </c>
      <c r="G268" s="13">
        <v>115305.26942121924</v>
      </c>
      <c r="H268" s="13">
        <v>112814.05178991798</v>
      </c>
      <c r="I268" s="13">
        <v>109814.05178991798</v>
      </c>
      <c r="J268" s="13">
        <v>106814.05178991798</v>
      </c>
      <c r="K268" s="13">
        <v>103814.05178991798</v>
      </c>
      <c r="L268" s="13">
        <v>100814.05178991798</v>
      </c>
      <c r="M268" s="13">
        <v>97814.051789917983</v>
      </c>
      <c r="N268" s="13">
        <v>94814.051789917983</v>
      </c>
      <c r="O268" s="13">
        <v>91814.051789917983</v>
      </c>
      <c r="P268" s="13">
        <v>88814.051789917983</v>
      </c>
      <c r="Q268" s="13">
        <v>85814.051789917983</v>
      </c>
      <c r="R268" s="13">
        <v>82814.051789917983</v>
      </c>
      <c r="S268" s="13">
        <v>79814.051789917983</v>
      </c>
      <c r="T268" s="13">
        <v>76814.051789917983</v>
      </c>
      <c r="U268" s="13">
        <v>73814.051789917983</v>
      </c>
      <c r="V268" s="13">
        <v>70814.051789917983</v>
      </c>
      <c r="W268" s="13">
        <v>67814.051789917983</v>
      </c>
      <c r="X268" s="13">
        <v>64814.051789917983</v>
      </c>
    </row>
    <row r="269" spans="1:24" x14ac:dyDescent="0.35">
      <c r="A269" s="34">
        <v>242</v>
      </c>
      <c r="B269" s="2">
        <v>0.6837321868448426</v>
      </c>
      <c r="C269" s="91">
        <f t="shared" si="10"/>
        <v>34.781609886721853</v>
      </c>
      <c r="D269" s="13">
        <v>144344.82966016547</v>
      </c>
      <c r="E269" s="13">
        <v>146344.82966016547</v>
      </c>
      <c r="F269" s="13">
        <v>148344.82966016547</v>
      </c>
      <c r="G269" s="13">
        <v>150344.82966016547</v>
      </c>
      <c r="H269" s="13">
        <v>152344.82966016547</v>
      </c>
      <c r="I269" s="13">
        <v>154344.82966016547</v>
      </c>
      <c r="J269" s="13">
        <v>156344.82966016547</v>
      </c>
      <c r="K269" s="13">
        <v>158344.82966016547</v>
      </c>
      <c r="L269" s="13">
        <v>160344.82966016547</v>
      </c>
      <c r="M269" s="13">
        <v>162344.82966016559</v>
      </c>
      <c r="N269" s="13">
        <v>164344.82966016559</v>
      </c>
      <c r="O269" s="13">
        <v>166344.82966016559</v>
      </c>
      <c r="P269" s="13">
        <v>168344.82966016559</v>
      </c>
      <c r="Q269" s="13">
        <v>170344.82966016559</v>
      </c>
      <c r="R269" s="13">
        <v>172344.82966016559</v>
      </c>
      <c r="S269" s="13">
        <v>173252.87909377483</v>
      </c>
      <c r="T269" s="13">
        <v>170252.87909377483</v>
      </c>
      <c r="U269" s="13">
        <v>167252.87909377483</v>
      </c>
      <c r="V269" s="13">
        <v>164252.87909377483</v>
      </c>
      <c r="W269" s="13">
        <v>161252.87909377483</v>
      </c>
      <c r="X269" s="13">
        <v>158252.87909377483</v>
      </c>
    </row>
    <row r="270" spans="1:24" x14ac:dyDescent="0.35">
      <c r="A270" s="34">
        <v>243</v>
      </c>
      <c r="B270" s="2">
        <v>0.46797328443987263</v>
      </c>
      <c r="C270" s="91">
        <f t="shared" si="10"/>
        <v>29.196345047076562</v>
      </c>
      <c r="D270" s="13">
        <v>127589.03514122975</v>
      </c>
      <c r="E270" s="13">
        <v>129589.03514122975</v>
      </c>
      <c r="F270" s="13">
        <v>131589.03514122975</v>
      </c>
      <c r="G270" s="13">
        <v>133589.03514122975</v>
      </c>
      <c r="H270" s="13">
        <v>135589.03514122975</v>
      </c>
      <c r="I270" s="13">
        <v>137589.03514122975</v>
      </c>
      <c r="J270" s="13">
        <v>139589.03514122975</v>
      </c>
      <c r="K270" s="13">
        <v>141589.03514122975</v>
      </c>
      <c r="L270" s="13">
        <v>143589.03514122975</v>
      </c>
      <c r="M270" s="13">
        <v>145589.03514122975</v>
      </c>
      <c r="N270" s="13">
        <v>143570.76037661254</v>
      </c>
      <c r="O270" s="13">
        <v>140570.76037661254</v>
      </c>
      <c r="P270" s="13">
        <v>137570.76037661254</v>
      </c>
      <c r="Q270" s="13">
        <v>134570.76037661254</v>
      </c>
      <c r="R270" s="13">
        <v>131570.76037661254</v>
      </c>
      <c r="S270" s="13">
        <v>128570.76037661254</v>
      </c>
      <c r="T270" s="13">
        <v>125570.76037661254</v>
      </c>
      <c r="U270" s="13">
        <v>122570.76037661254</v>
      </c>
      <c r="V270" s="13">
        <v>119570.76037661254</v>
      </c>
      <c r="W270" s="13">
        <v>116570.76037661254</v>
      </c>
      <c r="X270" s="13">
        <v>113570.76037661254</v>
      </c>
    </row>
    <row r="271" spans="1:24" x14ac:dyDescent="0.35">
      <c r="A271" s="34">
        <v>244</v>
      </c>
      <c r="B271" s="2">
        <v>0.93018910280162681</v>
      </c>
      <c r="C271" s="91">
        <f t="shared" si="10"/>
        <v>44.772008933957444</v>
      </c>
      <c r="D271" s="13">
        <v>174316.0268018723</v>
      </c>
      <c r="E271" s="13">
        <v>176316.0268018723</v>
      </c>
      <c r="F271" s="13">
        <v>178316.0268018723</v>
      </c>
      <c r="G271" s="13">
        <v>180316.0268018723</v>
      </c>
      <c r="H271" s="13">
        <v>182316.0268018723</v>
      </c>
      <c r="I271" s="13">
        <v>184316.0268018723</v>
      </c>
      <c r="J271" s="13">
        <v>186316.0268018723</v>
      </c>
      <c r="K271" s="13">
        <v>188316.0268018723</v>
      </c>
      <c r="L271" s="13">
        <v>190316.0268018723</v>
      </c>
      <c r="M271" s="13">
        <v>192316.0268018723</v>
      </c>
      <c r="N271" s="13">
        <v>194316.0268018723</v>
      </c>
      <c r="O271" s="13">
        <v>196316.0268018723</v>
      </c>
      <c r="P271" s="13">
        <v>198316.0268018723</v>
      </c>
      <c r="Q271" s="13">
        <v>200316.0268018723</v>
      </c>
      <c r="R271" s="13">
        <v>202316.0268018723</v>
      </c>
      <c r="S271" s="13">
        <v>204316.0268018723</v>
      </c>
      <c r="T271" s="13">
        <v>206316.0268018723</v>
      </c>
      <c r="U271" s="13">
        <v>208316.0268018723</v>
      </c>
      <c r="V271" s="13">
        <v>210316.0268018723</v>
      </c>
      <c r="W271" s="13">
        <v>212316.0268018723</v>
      </c>
      <c r="X271" s="13">
        <v>214316.0268018723</v>
      </c>
    </row>
    <row r="272" spans="1:24" x14ac:dyDescent="0.35">
      <c r="A272" s="34">
        <v>245</v>
      </c>
      <c r="B272" s="2">
        <v>0.63041392312276412</v>
      </c>
      <c r="C272" s="91">
        <f t="shared" si="10"/>
        <v>33.329498307358492</v>
      </c>
      <c r="D272" s="13">
        <v>139988.49492207542</v>
      </c>
      <c r="E272" s="13">
        <v>141988.49492207542</v>
      </c>
      <c r="F272" s="13">
        <v>143988.49492207542</v>
      </c>
      <c r="G272" s="13">
        <v>145988.49492207542</v>
      </c>
      <c r="H272" s="13">
        <v>147988.49492207542</v>
      </c>
      <c r="I272" s="13">
        <v>149988.49492207542</v>
      </c>
      <c r="J272" s="13">
        <v>151988.49492207542</v>
      </c>
      <c r="K272" s="13">
        <v>153988.49492207542</v>
      </c>
      <c r="L272" s="13">
        <v>155988.49492207554</v>
      </c>
      <c r="M272" s="13">
        <v>157988.49492207554</v>
      </c>
      <c r="N272" s="13">
        <v>159988.49492207554</v>
      </c>
      <c r="O272" s="13">
        <v>161988.49492207554</v>
      </c>
      <c r="P272" s="13">
        <v>163988.49492207554</v>
      </c>
      <c r="Q272" s="13">
        <v>165988.49492207554</v>
      </c>
      <c r="R272" s="13">
        <v>164635.9864588679</v>
      </c>
      <c r="S272" s="13">
        <v>161635.9864588679</v>
      </c>
      <c r="T272" s="13">
        <v>158635.9864588679</v>
      </c>
      <c r="U272" s="13">
        <v>155635.9864588679</v>
      </c>
      <c r="V272" s="13">
        <v>152635.9864588679</v>
      </c>
      <c r="W272" s="13">
        <v>149635.9864588679</v>
      </c>
      <c r="X272" s="13">
        <v>146635.9864588679</v>
      </c>
    </row>
    <row r="273" spans="1:24" x14ac:dyDescent="0.35">
      <c r="A273" s="34">
        <v>246</v>
      </c>
      <c r="B273" s="2">
        <v>0.23406238857266071</v>
      </c>
      <c r="C273" s="91">
        <f t="shared" si="10"/>
        <v>22.74466461235134</v>
      </c>
      <c r="D273" s="13">
        <v>108233.993837054</v>
      </c>
      <c r="E273" s="13">
        <v>110233.993837054</v>
      </c>
      <c r="F273" s="13">
        <v>112233.993837054</v>
      </c>
      <c r="G273" s="13">
        <v>112957.31689881068</v>
      </c>
      <c r="H273" s="13">
        <v>109957.31689881068</v>
      </c>
      <c r="I273" s="13">
        <v>106957.31689881068</v>
      </c>
      <c r="J273" s="13">
        <v>103957.31689881068</v>
      </c>
      <c r="K273" s="13">
        <v>100957.31689881068</v>
      </c>
      <c r="L273" s="13">
        <v>97957.316898810677</v>
      </c>
      <c r="M273" s="13">
        <v>94957.316898810677</v>
      </c>
      <c r="N273" s="13">
        <v>91957.316898810677</v>
      </c>
      <c r="O273" s="13">
        <v>88957.316898810677</v>
      </c>
      <c r="P273" s="13">
        <v>85957.316898810677</v>
      </c>
      <c r="Q273" s="13">
        <v>82957.316898810677</v>
      </c>
      <c r="R273" s="13">
        <v>79957.316898810677</v>
      </c>
      <c r="S273" s="13">
        <v>76957.316898810677</v>
      </c>
      <c r="T273" s="13">
        <v>73957.316898810677</v>
      </c>
      <c r="U273" s="13">
        <v>70957.316898810677</v>
      </c>
      <c r="V273" s="13">
        <v>67957.316898810677</v>
      </c>
      <c r="W273" s="13">
        <v>64957.316898810677</v>
      </c>
      <c r="X273" s="13">
        <v>61957.316898810677</v>
      </c>
    </row>
    <row r="274" spans="1:24" x14ac:dyDescent="0.35">
      <c r="A274" s="34">
        <v>247</v>
      </c>
      <c r="B274" s="2">
        <v>1.2679409158288579E-2</v>
      </c>
      <c r="C274" s="91">
        <f t="shared" si="10"/>
        <v>7.6410757018884752</v>
      </c>
      <c r="D274" s="13">
        <v>1128.6056151078083</v>
      </c>
      <c r="E274" s="13">
        <v>-1871.3943848921917</v>
      </c>
      <c r="F274" s="13">
        <v>-4871.3943848921917</v>
      </c>
      <c r="G274" s="13">
        <v>-7871.3943848921917</v>
      </c>
      <c r="H274" s="13">
        <v>-10871.394384892192</v>
      </c>
      <c r="I274" s="13">
        <v>-13871.394384892192</v>
      </c>
      <c r="J274" s="13">
        <v>-16871.394384892192</v>
      </c>
      <c r="K274" s="13">
        <v>-19871.394384892192</v>
      </c>
      <c r="L274" s="13">
        <v>-22871.394384892192</v>
      </c>
      <c r="M274" s="13">
        <v>-25871.394384892192</v>
      </c>
      <c r="N274" s="13">
        <v>-28871.394384892192</v>
      </c>
      <c r="O274" s="13">
        <v>-31871.394384892192</v>
      </c>
      <c r="P274" s="13">
        <v>-34871.394384892192</v>
      </c>
      <c r="Q274" s="13">
        <v>-37871.394384892192</v>
      </c>
      <c r="R274" s="13">
        <v>-40871.394384892192</v>
      </c>
      <c r="S274" s="13">
        <v>-43871.394384892192</v>
      </c>
      <c r="T274" s="13">
        <v>-46871.394384892192</v>
      </c>
      <c r="U274" s="13">
        <v>-49871.394384892192</v>
      </c>
      <c r="V274" s="13">
        <v>-52871.394384892192</v>
      </c>
      <c r="W274" s="13">
        <v>-55871.394384892192</v>
      </c>
      <c r="X274" s="13">
        <v>-58871.394384892192</v>
      </c>
    </row>
    <row r="275" spans="1:24" x14ac:dyDescent="0.35">
      <c r="A275" s="34">
        <v>248</v>
      </c>
      <c r="B275" s="2">
        <v>0.62952559817278497</v>
      </c>
      <c r="C275" s="91">
        <f t="shared" si="10"/>
        <v>33.305971441723933</v>
      </c>
      <c r="D275" s="13">
        <v>139917.91432517173</v>
      </c>
      <c r="E275" s="13">
        <v>141917.91432517173</v>
      </c>
      <c r="F275" s="13">
        <v>143917.91432517173</v>
      </c>
      <c r="G275" s="13">
        <v>145917.91432517173</v>
      </c>
      <c r="H275" s="13">
        <v>147917.91432517173</v>
      </c>
      <c r="I275" s="13">
        <v>149917.91432517173</v>
      </c>
      <c r="J275" s="13">
        <v>151917.91432517173</v>
      </c>
      <c r="K275" s="13">
        <v>153917.91432517173</v>
      </c>
      <c r="L275" s="13">
        <v>155917.91432517173</v>
      </c>
      <c r="M275" s="13">
        <v>157917.91432517173</v>
      </c>
      <c r="N275" s="13">
        <v>159917.91432517173</v>
      </c>
      <c r="O275" s="13">
        <v>161917.91432517173</v>
      </c>
      <c r="P275" s="13">
        <v>163917.91432517173</v>
      </c>
      <c r="Q275" s="13">
        <v>165917.91432517173</v>
      </c>
      <c r="R275" s="13">
        <v>164447.77153379144</v>
      </c>
      <c r="S275" s="13">
        <v>161447.77153379144</v>
      </c>
      <c r="T275" s="13">
        <v>158447.77153379144</v>
      </c>
      <c r="U275" s="13">
        <v>155447.77153379144</v>
      </c>
      <c r="V275" s="13">
        <v>152447.77153379144</v>
      </c>
      <c r="W275" s="13">
        <v>149447.77153379144</v>
      </c>
      <c r="X275" s="13">
        <v>146447.77153379144</v>
      </c>
    </row>
    <row r="276" spans="1:24" x14ac:dyDescent="0.35">
      <c r="A276" s="34">
        <v>249</v>
      </c>
      <c r="B276" s="2">
        <v>0.56912447044939718</v>
      </c>
      <c r="C276" s="91">
        <f t="shared" si="10"/>
        <v>31.741455719482634</v>
      </c>
      <c r="D276" s="13">
        <v>135224.36715844786</v>
      </c>
      <c r="E276" s="13">
        <v>137224.36715844786</v>
      </c>
      <c r="F276" s="13">
        <v>139224.36715844786</v>
      </c>
      <c r="G276" s="13">
        <v>141224.36715844786</v>
      </c>
      <c r="H276" s="13">
        <v>143224.36715844786</v>
      </c>
      <c r="I276" s="13">
        <v>145224.36715844786</v>
      </c>
      <c r="J276" s="13">
        <v>147224.36715844786</v>
      </c>
      <c r="K276" s="13">
        <v>149224.36715844786</v>
      </c>
      <c r="L276" s="13">
        <v>151224.36715844786</v>
      </c>
      <c r="M276" s="13">
        <v>153224.36715844786</v>
      </c>
      <c r="N276" s="13">
        <v>155224.36715844786</v>
      </c>
      <c r="O276" s="13">
        <v>157224.36715844786</v>
      </c>
      <c r="P276" s="13">
        <v>157931.64575586107</v>
      </c>
      <c r="Q276" s="13">
        <v>154931.64575586107</v>
      </c>
      <c r="R276" s="13">
        <v>151931.64575586107</v>
      </c>
      <c r="S276" s="13">
        <v>148931.64575586107</v>
      </c>
      <c r="T276" s="13">
        <v>145931.64575586107</v>
      </c>
      <c r="U276" s="13">
        <v>142931.64575586107</v>
      </c>
      <c r="V276" s="13">
        <v>139931.64575586107</v>
      </c>
      <c r="W276" s="13">
        <v>136931.64575586107</v>
      </c>
      <c r="X276" s="13">
        <v>133931.64575586107</v>
      </c>
    </row>
    <row r="277" spans="1:24" x14ac:dyDescent="0.35">
      <c r="A277" s="34">
        <v>250</v>
      </c>
      <c r="B277" s="2">
        <v>0.13628552012185247</v>
      </c>
      <c r="C277" s="91">
        <f t="shared" si="10"/>
        <v>19.028390500718164</v>
      </c>
      <c r="D277" s="13">
        <v>92227.12400574534</v>
      </c>
      <c r="E277" s="13">
        <v>89227.12400574534</v>
      </c>
      <c r="F277" s="13">
        <v>86227.124005745281</v>
      </c>
      <c r="G277" s="13">
        <v>83227.124005745281</v>
      </c>
      <c r="H277" s="13">
        <v>80227.124005745281</v>
      </c>
      <c r="I277" s="13">
        <v>77227.124005745281</v>
      </c>
      <c r="J277" s="13">
        <v>74227.124005745281</v>
      </c>
      <c r="K277" s="13">
        <v>71227.124005745281</v>
      </c>
      <c r="L277" s="13">
        <v>68227.124005745281</v>
      </c>
      <c r="M277" s="13">
        <v>65227.124005745281</v>
      </c>
      <c r="N277" s="13">
        <v>62227.124005745281</v>
      </c>
      <c r="O277" s="13">
        <v>59227.124005745281</v>
      </c>
      <c r="P277" s="13">
        <v>56227.124005745281</v>
      </c>
      <c r="Q277" s="13">
        <v>53227.124005745281</v>
      </c>
      <c r="R277" s="13">
        <v>50227.124005745281</v>
      </c>
      <c r="S277" s="13">
        <v>47227.124005745398</v>
      </c>
      <c r="T277" s="13">
        <v>44227.124005745398</v>
      </c>
      <c r="U277" s="13">
        <v>41227.124005745398</v>
      </c>
      <c r="V277" s="13">
        <v>38227.124005745398</v>
      </c>
      <c r="W277" s="13">
        <v>35227.124005745398</v>
      </c>
      <c r="X277" s="13">
        <v>32227.124005745398</v>
      </c>
    </row>
    <row r="278" spans="1:24" x14ac:dyDescent="0.35">
      <c r="A278" s="34">
        <v>251</v>
      </c>
      <c r="B278" s="2">
        <v>0.59670801445759658</v>
      </c>
      <c r="C278" s="91">
        <f t="shared" si="10"/>
        <v>32.448352858460886</v>
      </c>
      <c r="D278" s="13">
        <v>137345.05857538257</v>
      </c>
      <c r="E278" s="13">
        <v>139345.05857538257</v>
      </c>
      <c r="F278" s="13">
        <v>141345.05857538257</v>
      </c>
      <c r="G278" s="13">
        <v>143345.05857538257</v>
      </c>
      <c r="H278" s="13">
        <v>145345.05857538257</v>
      </c>
      <c r="I278" s="13">
        <v>147345.05857538257</v>
      </c>
      <c r="J278" s="13">
        <v>149345.05857538257</v>
      </c>
      <c r="K278" s="13">
        <v>151345.05857538269</v>
      </c>
      <c r="L278" s="13">
        <v>153345.05857538269</v>
      </c>
      <c r="M278" s="13">
        <v>155345.05857538269</v>
      </c>
      <c r="N278" s="13">
        <v>157345.05857538269</v>
      </c>
      <c r="O278" s="13">
        <v>159345.05857538269</v>
      </c>
      <c r="P278" s="13">
        <v>161345.05857538269</v>
      </c>
      <c r="Q278" s="13">
        <v>160586.82286768709</v>
      </c>
      <c r="R278" s="13">
        <v>157586.82286768709</v>
      </c>
      <c r="S278" s="13">
        <v>154586.82286768709</v>
      </c>
      <c r="T278" s="13">
        <v>151586.82286768709</v>
      </c>
      <c r="U278" s="13">
        <v>148586.82286768709</v>
      </c>
      <c r="V278" s="13">
        <v>145586.82286768709</v>
      </c>
      <c r="W278" s="13">
        <v>142586.82286768709</v>
      </c>
      <c r="X278" s="13">
        <v>139586.82286768709</v>
      </c>
    </row>
    <row r="279" spans="1:24" x14ac:dyDescent="0.35">
      <c r="A279" s="34">
        <v>252</v>
      </c>
      <c r="B279" s="2">
        <v>0.34582354334266696</v>
      </c>
      <c r="C279" s="91">
        <f t="shared" si="10"/>
        <v>26.033791659182619</v>
      </c>
      <c r="D279" s="13">
        <v>118101.37497754779</v>
      </c>
      <c r="E279" s="13">
        <v>120101.37497754779</v>
      </c>
      <c r="F279" s="13">
        <v>122101.37497754779</v>
      </c>
      <c r="G279" s="13">
        <v>124101.37497754779</v>
      </c>
      <c r="H279" s="13">
        <v>126101.37497754779</v>
      </c>
      <c r="I279" s="13">
        <v>128101.37497754785</v>
      </c>
      <c r="J279" s="13">
        <v>130101.37497754785</v>
      </c>
      <c r="K279" s="13">
        <v>127270.33327346097</v>
      </c>
      <c r="L279" s="13">
        <v>124270.33327346097</v>
      </c>
      <c r="M279" s="13">
        <v>121270.33327346097</v>
      </c>
      <c r="N279" s="13">
        <v>118270.33327346086</v>
      </c>
      <c r="O279" s="13">
        <v>115270.33327346086</v>
      </c>
      <c r="P279" s="13">
        <v>112270.33327346086</v>
      </c>
      <c r="Q279" s="13">
        <v>109270.33327346086</v>
      </c>
      <c r="R279" s="13">
        <v>106270.33327346086</v>
      </c>
      <c r="S279" s="13">
        <v>103270.33327346086</v>
      </c>
      <c r="T279" s="13">
        <v>100270.33327346086</v>
      </c>
      <c r="U279" s="13">
        <v>97270.333273460856</v>
      </c>
      <c r="V279" s="13">
        <v>94270.333273460856</v>
      </c>
      <c r="W279" s="13">
        <v>91270.333273460856</v>
      </c>
      <c r="X279" s="13">
        <v>88270.333273460856</v>
      </c>
    </row>
    <row r="280" spans="1:24" x14ac:dyDescent="0.35">
      <c r="A280" s="34">
        <v>253</v>
      </c>
      <c r="B280" s="2">
        <v>0.69009769992075942</v>
      </c>
      <c r="C280" s="91">
        <f t="shared" si="10"/>
        <v>34.961272986644637</v>
      </c>
      <c r="D280" s="13">
        <v>144883.81895993394</v>
      </c>
      <c r="E280" s="13">
        <v>146883.81895993394</v>
      </c>
      <c r="F280" s="13">
        <v>148883.81895993394</v>
      </c>
      <c r="G280" s="13">
        <v>150883.81895993394</v>
      </c>
      <c r="H280" s="13">
        <v>152883.81895993394</v>
      </c>
      <c r="I280" s="13">
        <v>154883.81895993394</v>
      </c>
      <c r="J280" s="13">
        <v>156883.81895993394</v>
      </c>
      <c r="K280" s="13">
        <v>158883.81895993394</v>
      </c>
      <c r="L280" s="13">
        <v>160883.81895993394</v>
      </c>
      <c r="M280" s="13">
        <v>162883.81895993394</v>
      </c>
      <c r="N280" s="13">
        <v>164883.81895993394</v>
      </c>
      <c r="O280" s="13">
        <v>166883.81895993394</v>
      </c>
      <c r="P280" s="13">
        <v>168883.81895993394</v>
      </c>
      <c r="Q280" s="13">
        <v>170883.81895993394</v>
      </c>
      <c r="R280" s="13">
        <v>172883.81895993394</v>
      </c>
      <c r="S280" s="13">
        <v>174690.18389315705</v>
      </c>
      <c r="T280" s="13">
        <v>171690.18389315705</v>
      </c>
      <c r="U280" s="13">
        <v>168690.18389315705</v>
      </c>
      <c r="V280" s="13">
        <v>165690.18389315705</v>
      </c>
      <c r="W280" s="13">
        <v>162690.18389315705</v>
      </c>
      <c r="X280" s="13">
        <v>159690.18389315705</v>
      </c>
    </row>
    <row r="281" spans="1:24" x14ac:dyDescent="0.35">
      <c r="A281" s="34">
        <v>254</v>
      </c>
      <c r="B281" s="2">
        <v>0.88119232575741169</v>
      </c>
      <c r="C281" s="91">
        <f t="shared" si="10"/>
        <v>41.809682197061633</v>
      </c>
      <c r="D281" s="13">
        <v>165429.04659118492</v>
      </c>
      <c r="E281" s="13">
        <v>167429.04659118492</v>
      </c>
      <c r="F281" s="13">
        <v>169429.04659118492</v>
      </c>
      <c r="G281" s="13">
        <v>171429.04659118492</v>
      </c>
      <c r="H281" s="13">
        <v>173429.04659118492</v>
      </c>
      <c r="I281" s="13">
        <v>175429.04659118492</v>
      </c>
      <c r="J281" s="13">
        <v>177429.04659118492</v>
      </c>
      <c r="K281" s="13">
        <v>179429.04659118492</v>
      </c>
      <c r="L281" s="13">
        <v>181429.04659118492</v>
      </c>
      <c r="M281" s="13">
        <v>183429.04659118492</v>
      </c>
      <c r="N281" s="13">
        <v>185429.04659118492</v>
      </c>
      <c r="O281" s="13">
        <v>187429.04659118492</v>
      </c>
      <c r="P281" s="13">
        <v>189429.04659118492</v>
      </c>
      <c r="Q281" s="13">
        <v>191429.04659118492</v>
      </c>
      <c r="R281" s="13">
        <v>193429.04659118492</v>
      </c>
      <c r="S281" s="13">
        <v>195429.04659118492</v>
      </c>
      <c r="T281" s="13">
        <v>197429.04659118492</v>
      </c>
      <c r="U281" s="13">
        <v>199429.04659118492</v>
      </c>
      <c r="V281" s="13">
        <v>201429.04659118492</v>
      </c>
      <c r="W281" s="13">
        <v>203429.04659118492</v>
      </c>
      <c r="X281" s="13">
        <v>205429.04659118492</v>
      </c>
    </row>
    <row r="282" spans="1:24" x14ac:dyDescent="0.35">
      <c r="A282" s="34">
        <v>255</v>
      </c>
      <c r="B282" s="2">
        <v>0.36206126132726546</v>
      </c>
      <c r="C282" s="91">
        <f t="shared" si="10"/>
        <v>26.470454612681639</v>
      </c>
      <c r="D282" s="13">
        <v>119411.36383804481</v>
      </c>
      <c r="E282" s="13">
        <v>121411.36383804493</v>
      </c>
      <c r="F282" s="13">
        <v>123411.36383804493</v>
      </c>
      <c r="G282" s="13">
        <v>125411.36383804493</v>
      </c>
      <c r="H282" s="13">
        <v>127411.36383804493</v>
      </c>
      <c r="I282" s="13">
        <v>129411.36383804493</v>
      </c>
      <c r="J282" s="13">
        <v>131411.36383804493</v>
      </c>
      <c r="K282" s="13">
        <v>130763.63690145302</v>
      </c>
      <c r="L282" s="13">
        <v>127763.63690145302</v>
      </c>
      <c r="M282" s="13">
        <v>124763.63690145314</v>
      </c>
      <c r="N282" s="13">
        <v>121763.63690145314</v>
      </c>
      <c r="O282" s="13">
        <v>118763.63690145314</v>
      </c>
      <c r="P282" s="13">
        <v>115763.63690145314</v>
      </c>
      <c r="Q282" s="13">
        <v>112763.63690145314</v>
      </c>
      <c r="R282" s="13">
        <v>109763.63690145314</v>
      </c>
      <c r="S282" s="13">
        <v>106763.63690145314</v>
      </c>
      <c r="T282" s="13">
        <v>103763.63690145314</v>
      </c>
      <c r="U282" s="13">
        <v>100763.63690145314</v>
      </c>
      <c r="V282" s="13">
        <v>97763.636901453137</v>
      </c>
      <c r="W282" s="13">
        <v>94763.636901453137</v>
      </c>
      <c r="X282" s="13">
        <v>91763.636901453137</v>
      </c>
    </row>
    <row r="283" spans="1:24" x14ac:dyDescent="0.35">
      <c r="A283" s="34">
        <v>256</v>
      </c>
      <c r="B283" s="2">
        <v>0.25628989954622605</v>
      </c>
      <c r="C283" s="91">
        <f t="shared" si="10"/>
        <v>23.45174016085398</v>
      </c>
      <c r="D283" s="13">
        <v>110355.22048256191</v>
      </c>
      <c r="E283" s="13">
        <v>112355.22048256191</v>
      </c>
      <c r="F283" s="13">
        <v>114355.22048256191</v>
      </c>
      <c r="G283" s="13">
        <v>116355.22048256191</v>
      </c>
      <c r="H283" s="13">
        <v>115613.92128683184</v>
      </c>
      <c r="I283" s="13">
        <v>112613.92128683184</v>
      </c>
      <c r="J283" s="13">
        <v>109613.92128683184</v>
      </c>
      <c r="K283" s="13">
        <v>106613.92128683184</v>
      </c>
      <c r="L283" s="13">
        <v>103613.92128683184</v>
      </c>
      <c r="M283" s="13">
        <v>100613.92128683184</v>
      </c>
      <c r="N283" s="13">
        <v>97613.921286831843</v>
      </c>
      <c r="O283" s="13">
        <v>94613.921286831843</v>
      </c>
      <c r="P283" s="13">
        <v>91613.921286831843</v>
      </c>
      <c r="Q283" s="13">
        <v>88613.921286831843</v>
      </c>
      <c r="R283" s="13">
        <v>85613.921286831843</v>
      </c>
      <c r="S283" s="13">
        <v>82613.921286831843</v>
      </c>
      <c r="T283" s="13">
        <v>79613.921286831843</v>
      </c>
      <c r="U283" s="13">
        <v>76613.921286831843</v>
      </c>
      <c r="V283" s="13">
        <v>73613.921286831843</v>
      </c>
      <c r="W283" s="13">
        <v>70613.921286831843</v>
      </c>
      <c r="X283" s="13">
        <v>67613.921286831843</v>
      </c>
    </row>
    <row r="284" spans="1:24" x14ac:dyDescent="0.35">
      <c r="A284" s="34">
        <v>257</v>
      </c>
      <c r="B284" s="2">
        <v>0.12985292017130834</v>
      </c>
      <c r="C284" s="91">
        <f t="shared" si="10"/>
        <v>18.729133339041411</v>
      </c>
      <c r="D284" s="13">
        <v>89833.06671233126</v>
      </c>
      <c r="E284" s="13">
        <v>86833.06671233126</v>
      </c>
      <c r="F284" s="13">
        <v>83833.06671233126</v>
      </c>
      <c r="G284" s="13">
        <v>80833.06671233126</v>
      </c>
      <c r="H284" s="13">
        <v>77833.06671233126</v>
      </c>
      <c r="I284" s="13">
        <v>74833.06671233126</v>
      </c>
      <c r="J284" s="13">
        <v>71833.06671233126</v>
      </c>
      <c r="K284" s="13">
        <v>68833.06671233126</v>
      </c>
      <c r="L284" s="13">
        <v>65833.06671233126</v>
      </c>
      <c r="M284" s="13">
        <v>62833.06671233126</v>
      </c>
      <c r="N284" s="13">
        <v>59833.06671233126</v>
      </c>
      <c r="O284" s="13">
        <v>56833.06671233126</v>
      </c>
      <c r="P284" s="13">
        <v>53833.06671233126</v>
      </c>
      <c r="Q284" s="13">
        <v>50833.06671233126</v>
      </c>
      <c r="R284" s="13">
        <v>47833.06671233126</v>
      </c>
      <c r="S284" s="13">
        <v>44833.06671233126</v>
      </c>
      <c r="T284" s="13">
        <v>41833.06671233126</v>
      </c>
      <c r="U284" s="13">
        <v>38833.06671233126</v>
      </c>
      <c r="V284" s="13">
        <v>35833.06671233126</v>
      </c>
      <c r="W284" s="13">
        <v>32833.06671233126</v>
      </c>
      <c r="X284" s="13">
        <v>29833.06671233126</v>
      </c>
    </row>
    <row r="285" spans="1:24" x14ac:dyDescent="0.35">
      <c r="A285" s="34">
        <v>258</v>
      </c>
      <c r="B285" s="2">
        <v>0.89208037016317177</v>
      </c>
      <c r="C285" s="91">
        <f t="shared" ref="C285:C348" si="11">_xlfn.NORM.INV(B285,$F$6,$F$8)</f>
        <v>42.376678098882095</v>
      </c>
      <c r="D285" s="13">
        <v>167130.03429664648</v>
      </c>
      <c r="E285" s="13">
        <v>169130.03429664648</v>
      </c>
      <c r="F285" s="13">
        <v>171130.03429664625</v>
      </c>
      <c r="G285" s="13">
        <v>173130.03429664625</v>
      </c>
      <c r="H285" s="13">
        <v>175130.03429664625</v>
      </c>
      <c r="I285" s="13">
        <v>177130.03429664625</v>
      </c>
      <c r="J285" s="13">
        <v>179130.03429664625</v>
      </c>
      <c r="K285" s="13">
        <v>181130.03429664625</v>
      </c>
      <c r="L285" s="13">
        <v>183130.03429664625</v>
      </c>
      <c r="M285" s="13">
        <v>185130.03429664625</v>
      </c>
      <c r="N285" s="13">
        <v>187130.03429664625</v>
      </c>
      <c r="O285" s="13">
        <v>189130.03429664625</v>
      </c>
      <c r="P285" s="13">
        <v>191130.03429664625</v>
      </c>
      <c r="Q285" s="13">
        <v>193130.03429664625</v>
      </c>
      <c r="R285" s="13">
        <v>195130.03429664625</v>
      </c>
      <c r="S285" s="13">
        <v>197130.03429664625</v>
      </c>
      <c r="T285" s="13">
        <v>199130.03429664625</v>
      </c>
      <c r="U285" s="13">
        <v>201130.03429664625</v>
      </c>
      <c r="V285" s="13">
        <v>203130.03429664625</v>
      </c>
      <c r="W285" s="13">
        <v>205130.03429664625</v>
      </c>
      <c r="X285" s="13">
        <v>207130.03429664625</v>
      </c>
    </row>
    <row r="286" spans="1:24" x14ac:dyDescent="0.35">
      <c r="A286" s="34">
        <v>259</v>
      </c>
      <c r="B286" s="2">
        <v>0.18641827241220743</v>
      </c>
      <c r="C286" s="91">
        <f t="shared" si="11"/>
        <v>21.088273317215698</v>
      </c>
      <c r="D286" s="13">
        <v>103264.81995164714</v>
      </c>
      <c r="E286" s="13">
        <v>105264.81995164714</v>
      </c>
      <c r="F286" s="13">
        <v>102706.18653772562</v>
      </c>
      <c r="G286" s="13">
        <v>99706.186537725618</v>
      </c>
      <c r="H286" s="13">
        <v>96706.186537725618</v>
      </c>
      <c r="I286" s="13">
        <v>93706.186537725618</v>
      </c>
      <c r="J286" s="13">
        <v>90706.186537725618</v>
      </c>
      <c r="K286" s="13">
        <v>87706.186537725618</v>
      </c>
      <c r="L286" s="13">
        <v>84706.186537725618</v>
      </c>
      <c r="M286" s="13">
        <v>81706.186537725618</v>
      </c>
      <c r="N286" s="13">
        <v>78706.186537725618</v>
      </c>
      <c r="O286" s="13">
        <v>75706.186537725618</v>
      </c>
      <c r="P286" s="13">
        <v>72706.186537725618</v>
      </c>
      <c r="Q286" s="13">
        <v>69706.186537725618</v>
      </c>
      <c r="R286" s="13">
        <v>66706.186537725618</v>
      </c>
      <c r="S286" s="13">
        <v>63706.186537725618</v>
      </c>
      <c r="T286" s="13">
        <v>60706.186537725618</v>
      </c>
      <c r="U286" s="13">
        <v>57706.186537725618</v>
      </c>
      <c r="V286" s="13">
        <v>54706.186537725618</v>
      </c>
      <c r="W286" s="13">
        <v>51706.186537725618</v>
      </c>
      <c r="X286" s="13">
        <v>48706.186537725618</v>
      </c>
    </row>
    <row r="287" spans="1:24" x14ac:dyDescent="0.35">
      <c r="A287" s="34">
        <v>260</v>
      </c>
      <c r="B287" s="2">
        <v>0.29663568510558191</v>
      </c>
      <c r="C287" s="91">
        <f t="shared" si="11"/>
        <v>24.658985841122529</v>
      </c>
      <c r="D287" s="13">
        <v>113976.9575233676</v>
      </c>
      <c r="E287" s="13">
        <v>115976.9575233676</v>
      </c>
      <c r="F287" s="13">
        <v>117976.9575233676</v>
      </c>
      <c r="G287" s="13">
        <v>119976.9575233676</v>
      </c>
      <c r="H287" s="13">
        <v>121976.9575233676</v>
      </c>
      <c r="I287" s="13">
        <v>122271.88672898023</v>
      </c>
      <c r="J287" s="13">
        <v>119271.88672898023</v>
      </c>
      <c r="K287" s="13">
        <v>116271.88672898023</v>
      </c>
      <c r="L287" s="13">
        <v>113271.88672898023</v>
      </c>
      <c r="M287" s="13">
        <v>110271.88672898023</v>
      </c>
      <c r="N287" s="13">
        <v>107271.88672898023</v>
      </c>
      <c r="O287" s="13">
        <v>104271.88672898023</v>
      </c>
      <c r="P287" s="13">
        <v>101271.88672898023</v>
      </c>
      <c r="Q287" s="13">
        <v>98271.886728980229</v>
      </c>
      <c r="R287" s="13">
        <v>95271.886728980229</v>
      </c>
      <c r="S287" s="13">
        <v>92271.886728980229</v>
      </c>
      <c r="T287" s="13">
        <v>89271.886728980229</v>
      </c>
      <c r="U287" s="13">
        <v>86271.886728980229</v>
      </c>
      <c r="V287" s="13">
        <v>83271.886728980229</v>
      </c>
      <c r="W287" s="13">
        <v>80271.886728980229</v>
      </c>
      <c r="X287" s="13">
        <v>77271.886728980229</v>
      </c>
    </row>
    <row r="288" spans="1:24" x14ac:dyDescent="0.35">
      <c r="A288" s="34">
        <v>261</v>
      </c>
      <c r="B288" s="2">
        <v>0.69511318104050857</v>
      </c>
      <c r="C288" s="91">
        <f t="shared" si="11"/>
        <v>35.103966006614456</v>
      </c>
      <c r="D288" s="13">
        <v>145311.89801984327</v>
      </c>
      <c r="E288" s="13">
        <v>147311.89801984327</v>
      </c>
      <c r="F288" s="13">
        <v>149311.89801984327</v>
      </c>
      <c r="G288" s="13">
        <v>151311.89801984327</v>
      </c>
      <c r="H288" s="13">
        <v>153311.89801984327</v>
      </c>
      <c r="I288" s="13">
        <v>155311.89801984327</v>
      </c>
      <c r="J288" s="13">
        <v>157311.89801984327</v>
      </c>
      <c r="K288" s="13">
        <v>159311.89801984327</v>
      </c>
      <c r="L288" s="13">
        <v>161311.89801984327</v>
      </c>
      <c r="M288" s="13">
        <v>163311.89801984327</v>
      </c>
      <c r="N288" s="13">
        <v>165311.89801984327</v>
      </c>
      <c r="O288" s="13">
        <v>167311.89801984327</v>
      </c>
      <c r="P288" s="13">
        <v>169311.89801984327</v>
      </c>
      <c r="Q288" s="13">
        <v>171311.89801984327</v>
      </c>
      <c r="R288" s="13">
        <v>173311.89801984327</v>
      </c>
      <c r="S288" s="13">
        <v>175311.89801984327</v>
      </c>
      <c r="T288" s="13">
        <v>172831.72805291554</v>
      </c>
      <c r="U288" s="13">
        <v>169831.72805291554</v>
      </c>
      <c r="V288" s="13">
        <v>166831.72805291554</v>
      </c>
      <c r="W288" s="13">
        <v>163831.72805291554</v>
      </c>
      <c r="X288" s="13">
        <v>160831.72805291554</v>
      </c>
    </row>
    <row r="289" spans="1:24" x14ac:dyDescent="0.35">
      <c r="A289" s="34">
        <v>262</v>
      </c>
      <c r="B289" s="2">
        <v>0.16522381608925496</v>
      </c>
      <c r="C289" s="91">
        <f t="shared" si="11"/>
        <v>20.26787364468268</v>
      </c>
      <c r="D289" s="13">
        <v>100803.62093404809</v>
      </c>
      <c r="E289" s="13">
        <v>99142.989157461445</v>
      </c>
      <c r="F289" s="13">
        <v>96142.989157461445</v>
      </c>
      <c r="G289" s="13">
        <v>93142.989157461445</v>
      </c>
      <c r="H289" s="13">
        <v>90142.989157461445</v>
      </c>
      <c r="I289" s="13">
        <v>87142.989157461445</v>
      </c>
      <c r="J289" s="13">
        <v>84142.989157461445</v>
      </c>
      <c r="K289" s="13">
        <v>81142.989157461445</v>
      </c>
      <c r="L289" s="13">
        <v>78142.989157461445</v>
      </c>
      <c r="M289" s="13">
        <v>75142.989157461445</v>
      </c>
      <c r="N289" s="13">
        <v>72142.989157461445</v>
      </c>
      <c r="O289" s="13">
        <v>69142.989157461445</v>
      </c>
      <c r="P289" s="13">
        <v>66142.989157461445</v>
      </c>
      <c r="Q289" s="13">
        <v>63142.989157461445</v>
      </c>
      <c r="R289" s="13">
        <v>60142.989157461445</v>
      </c>
      <c r="S289" s="13">
        <v>57142.989157461445</v>
      </c>
      <c r="T289" s="13">
        <v>54142.989157461445</v>
      </c>
      <c r="U289" s="13">
        <v>51142.989157461445</v>
      </c>
      <c r="V289" s="13">
        <v>48142.989157461445</v>
      </c>
      <c r="W289" s="13">
        <v>45142.989157461445</v>
      </c>
      <c r="X289" s="13">
        <v>42142.989157461445</v>
      </c>
    </row>
    <row r="290" spans="1:24" x14ac:dyDescent="0.35">
      <c r="A290" s="34">
        <v>263</v>
      </c>
      <c r="B290" s="2">
        <v>0.41175689890870915</v>
      </c>
      <c r="C290" s="91">
        <f t="shared" si="11"/>
        <v>27.769721071212377</v>
      </c>
      <c r="D290" s="13">
        <v>123309.16321363708</v>
      </c>
      <c r="E290" s="13">
        <v>125309.16321363708</v>
      </c>
      <c r="F290" s="13">
        <v>127309.16321363708</v>
      </c>
      <c r="G290" s="13">
        <v>129309.16321363708</v>
      </c>
      <c r="H290" s="13">
        <v>131309.16321363708</v>
      </c>
      <c r="I290" s="13">
        <v>133309.16321363708</v>
      </c>
      <c r="J290" s="13">
        <v>135309.16321363708</v>
      </c>
      <c r="K290" s="13">
        <v>137309.16321363708</v>
      </c>
      <c r="L290" s="13">
        <v>138157.76856969902</v>
      </c>
      <c r="M290" s="13">
        <v>135157.76856969902</v>
      </c>
      <c r="N290" s="13">
        <v>132157.76856969902</v>
      </c>
      <c r="O290" s="13">
        <v>129157.76856969902</v>
      </c>
      <c r="P290" s="13">
        <v>126157.76856969902</v>
      </c>
      <c r="Q290" s="13">
        <v>123157.76856969902</v>
      </c>
      <c r="R290" s="13">
        <v>120157.76856969902</v>
      </c>
      <c r="S290" s="13">
        <v>117157.76856969902</v>
      </c>
      <c r="T290" s="13">
        <v>114157.76856969902</v>
      </c>
      <c r="U290" s="13">
        <v>111157.76856969902</v>
      </c>
      <c r="V290" s="13">
        <v>108157.76856969902</v>
      </c>
      <c r="W290" s="13">
        <v>105157.76856969902</v>
      </c>
      <c r="X290" s="13">
        <v>102157.76856969902</v>
      </c>
    </row>
    <row r="291" spans="1:24" x14ac:dyDescent="0.35">
      <c r="A291" s="34">
        <v>264</v>
      </c>
      <c r="B291" s="2">
        <v>0.91315436575369824</v>
      </c>
      <c r="C291" s="91">
        <f t="shared" si="11"/>
        <v>43.60438290151211</v>
      </c>
      <c r="D291" s="13">
        <v>170813.14870453626</v>
      </c>
      <c r="E291" s="13">
        <v>172813.14870453626</v>
      </c>
      <c r="F291" s="13">
        <v>174813.14870453626</v>
      </c>
      <c r="G291" s="13">
        <v>176813.14870453626</v>
      </c>
      <c r="H291" s="13">
        <v>178813.14870453626</v>
      </c>
      <c r="I291" s="13">
        <v>180813.14870453626</v>
      </c>
      <c r="J291" s="13">
        <v>182813.14870453626</v>
      </c>
      <c r="K291" s="13">
        <v>184813.14870453626</v>
      </c>
      <c r="L291" s="13">
        <v>186813.14870453626</v>
      </c>
      <c r="M291" s="13">
        <v>188813.14870453626</v>
      </c>
      <c r="N291" s="13">
        <v>190813.14870453626</v>
      </c>
      <c r="O291" s="13">
        <v>192813.14870453626</v>
      </c>
      <c r="P291" s="13">
        <v>194813.14870453626</v>
      </c>
      <c r="Q291" s="13">
        <v>196813.14870453626</v>
      </c>
      <c r="R291" s="13">
        <v>198813.14870453649</v>
      </c>
      <c r="S291" s="13">
        <v>200813.14870453649</v>
      </c>
      <c r="T291" s="13">
        <v>202813.14870453649</v>
      </c>
      <c r="U291" s="13">
        <v>204813.14870453649</v>
      </c>
      <c r="V291" s="13">
        <v>206813.14870453649</v>
      </c>
      <c r="W291" s="13">
        <v>208813.14870453649</v>
      </c>
      <c r="X291" s="13">
        <v>210813.14870453649</v>
      </c>
    </row>
    <row r="292" spans="1:24" x14ac:dyDescent="0.35">
      <c r="A292" s="34">
        <v>265</v>
      </c>
      <c r="B292" s="2">
        <v>0.8143528658054896</v>
      </c>
      <c r="C292" s="91">
        <f t="shared" si="11"/>
        <v>38.940516284467755</v>
      </c>
      <c r="D292" s="13">
        <v>156821.54885340319</v>
      </c>
      <c r="E292" s="13">
        <v>158821.54885340319</v>
      </c>
      <c r="F292" s="13">
        <v>160821.54885340319</v>
      </c>
      <c r="G292" s="13">
        <v>162821.54885340319</v>
      </c>
      <c r="H292" s="13">
        <v>164821.54885340319</v>
      </c>
      <c r="I292" s="13">
        <v>166821.54885340319</v>
      </c>
      <c r="J292" s="13">
        <v>168821.54885340319</v>
      </c>
      <c r="K292" s="13">
        <v>170821.54885340319</v>
      </c>
      <c r="L292" s="13">
        <v>172821.54885340331</v>
      </c>
      <c r="M292" s="13">
        <v>174821.54885340331</v>
      </c>
      <c r="N292" s="13">
        <v>176821.54885340331</v>
      </c>
      <c r="O292" s="13">
        <v>178821.54885340331</v>
      </c>
      <c r="P292" s="13">
        <v>180821.54885340331</v>
      </c>
      <c r="Q292" s="13">
        <v>182821.54885340331</v>
      </c>
      <c r="R292" s="13">
        <v>184821.54885340331</v>
      </c>
      <c r="S292" s="13">
        <v>186821.54885340331</v>
      </c>
      <c r="T292" s="13">
        <v>188821.54885340331</v>
      </c>
      <c r="U292" s="13">
        <v>190821.54885340331</v>
      </c>
      <c r="V292" s="13">
        <v>192821.54885340331</v>
      </c>
      <c r="W292" s="13">
        <v>194524.13027574203</v>
      </c>
      <c r="X292" s="13">
        <v>191524.13027574203</v>
      </c>
    </row>
    <row r="293" spans="1:24" x14ac:dyDescent="0.35">
      <c r="A293" s="34">
        <v>266</v>
      </c>
      <c r="B293" s="2">
        <v>0.46030750398001719</v>
      </c>
      <c r="C293" s="91">
        <f t="shared" si="11"/>
        <v>29.003409449148162</v>
      </c>
      <c r="D293" s="13">
        <v>127010.22834744444</v>
      </c>
      <c r="E293" s="13">
        <v>129010.22834744444</v>
      </c>
      <c r="F293" s="13">
        <v>131010.22834744444</v>
      </c>
      <c r="G293" s="13">
        <v>133010.22834744444</v>
      </c>
      <c r="H293" s="13">
        <v>135010.22834744444</v>
      </c>
      <c r="I293" s="13">
        <v>137010.22834744444</v>
      </c>
      <c r="J293" s="13">
        <v>139010.22834744444</v>
      </c>
      <c r="K293" s="13">
        <v>141010.22834744444</v>
      </c>
      <c r="L293" s="13">
        <v>143010.22834744444</v>
      </c>
      <c r="M293" s="13">
        <v>145010.22834744444</v>
      </c>
      <c r="N293" s="13">
        <v>142027.27559318522</v>
      </c>
      <c r="O293" s="13">
        <v>139027.27559318522</v>
      </c>
      <c r="P293" s="13">
        <v>136027.27559318522</v>
      </c>
      <c r="Q293" s="13">
        <v>133027.27559318522</v>
      </c>
      <c r="R293" s="13">
        <v>130027.27559318522</v>
      </c>
      <c r="S293" s="13">
        <v>127027.27559318522</v>
      </c>
      <c r="T293" s="13">
        <v>124027.27559318522</v>
      </c>
      <c r="U293" s="13">
        <v>121027.27559318522</v>
      </c>
      <c r="V293" s="13">
        <v>118027.27559318522</v>
      </c>
      <c r="W293" s="13">
        <v>115027.27559318522</v>
      </c>
      <c r="X293" s="13">
        <v>112027.27559318522</v>
      </c>
    </row>
    <row r="294" spans="1:24" x14ac:dyDescent="0.35">
      <c r="A294" s="34">
        <v>267</v>
      </c>
      <c r="B294" s="2">
        <v>7.8553897300485231E-2</v>
      </c>
      <c r="C294" s="91">
        <f t="shared" si="11"/>
        <v>15.851340210780061</v>
      </c>
      <c r="D294" s="13">
        <v>66810.721686240518</v>
      </c>
      <c r="E294" s="13">
        <v>63810.721686240518</v>
      </c>
      <c r="F294" s="13">
        <v>60810.721686240518</v>
      </c>
      <c r="G294" s="13">
        <v>57810.721686240518</v>
      </c>
      <c r="H294" s="13">
        <v>54810.721686240518</v>
      </c>
      <c r="I294" s="13">
        <v>51810.721686240518</v>
      </c>
      <c r="J294" s="13">
        <v>48810.721686240518</v>
      </c>
      <c r="K294" s="13">
        <v>45810.721686240518</v>
      </c>
      <c r="L294" s="13">
        <v>42810.721686240518</v>
      </c>
      <c r="M294" s="13">
        <v>39810.721686240518</v>
      </c>
      <c r="N294" s="13">
        <v>36810.721686240518</v>
      </c>
      <c r="O294" s="13">
        <v>33810.721686240518</v>
      </c>
      <c r="P294" s="13">
        <v>30810.721686240518</v>
      </c>
      <c r="Q294" s="13">
        <v>27810.721686240518</v>
      </c>
      <c r="R294" s="13">
        <v>24810.721686240518</v>
      </c>
      <c r="S294" s="13">
        <v>21810.721686240518</v>
      </c>
      <c r="T294" s="13">
        <v>18810.721686240518</v>
      </c>
      <c r="U294" s="13">
        <v>15810.721686240518</v>
      </c>
      <c r="V294" s="13">
        <v>12810.721686240518</v>
      </c>
      <c r="W294" s="13">
        <v>9810.7216862405185</v>
      </c>
      <c r="X294" s="13">
        <v>6810.7216862405185</v>
      </c>
    </row>
    <row r="295" spans="1:24" x14ac:dyDescent="0.35">
      <c r="A295" s="34">
        <v>268</v>
      </c>
      <c r="B295" s="2">
        <v>5.0082686687933475E-2</v>
      </c>
      <c r="C295" s="91">
        <f t="shared" si="11"/>
        <v>13.559475725550513</v>
      </c>
      <c r="D295" s="13">
        <v>48475.805804404081</v>
      </c>
      <c r="E295" s="13">
        <v>45475.805804404081</v>
      </c>
      <c r="F295" s="13">
        <v>42475.805804404081</v>
      </c>
      <c r="G295" s="13">
        <v>39475.805804404081</v>
      </c>
      <c r="H295" s="13">
        <v>36475.805804404081</v>
      </c>
      <c r="I295" s="13">
        <v>33475.805804404081</v>
      </c>
      <c r="J295" s="13">
        <v>30475.805804404081</v>
      </c>
      <c r="K295" s="13">
        <v>27475.805804404081</v>
      </c>
      <c r="L295" s="13">
        <v>24475.805804404081</v>
      </c>
      <c r="M295" s="13">
        <v>21475.805804404081</v>
      </c>
      <c r="N295" s="13">
        <v>18475.805804404081</v>
      </c>
      <c r="O295" s="13">
        <v>15475.805804404081</v>
      </c>
      <c r="P295" s="13">
        <v>12475.805804404081</v>
      </c>
      <c r="Q295" s="13">
        <v>9475.8058044040808</v>
      </c>
      <c r="R295" s="13">
        <v>6475.8058044040808</v>
      </c>
      <c r="S295" s="13">
        <v>3475.8058044040808</v>
      </c>
      <c r="T295" s="13">
        <v>475.80580440408085</v>
      </c>
      <c r="U295" s="13">
        <v>-2524.1941955959192</v>
      </c>
      <c r="V295" s="13">
        <v>-5524.1941955959192</v>
      </c>
      <c r="W295" s="13">
        <v>-8524.1941955959192</v>
      </c>
      <c r="X295" s="13">
        <v>-11524.194195595919</v>
      </c>
    </row>
    <row r="296" spans="1:24" x14ac:dyDescent="0.35">
      <c r="A296" s="34">
        <v>269</v>
      </c>
      <c r="B296" s="2">
        <v>0.90276344341306514</v>
      </c>
      <c r="C296" s="91">
        <f t="shared" si="11"/>
        <v>42.974595532376128</v>
      </c>
      <c r="D296" s="13">
        <v>168923.78659712849</v>
      </c>
      <c r="E296" s="13">
        <v>170923.78659712849</v>
      </c>
      <c r="F296" s="13">
        <v>172923.78659712849</v>
      </c>
      <c r="G296" s="13">
        <v>174923.78659712849</v>
      </c>
      <c r="H296" s="13">
        <v>176923.78659712849</v>
      </c>
      <c r="I296" s="13">
        <v>178923.78659712849</v>
      </c>
      <c r="J296" s="13">
        <v>180923.78659712849</v>
      </c>
      <c r="K296" s="13">
        <v>182923.78659712849</v>
      </c>
      <c r="L296" s="13">
        <v>184923.78659712849</v>
      </c>
      <c r="M296" s="13">
        <v>186923.78659712849</v>
      </c>
      <c r="N296" s="13">
        <v>188923.78659712849</v>
      </c>
      <c r="O296" s="13">
        <v>190923.78659712849</v>
      </c>
      <c r="P296" s="13">
        <v>192923.78659712849</v>
      </c>
      <c r="Q296" s="13">
        <v>194923.78659712849</v>
      </c>
      <c r="R296" s="13">
        <v>196923.78659712849</v>
      </c>
      <c r="S296" s="13">
        <v>198923.78659712849</v>
      </c>
      <c r="T296" s="13">
        <v>200923.78659712849</v>
      </c>
      <c r="U296" s="13">
        <v>202923.78659712849</v>
      </c>
      <c r="V296" s="13">
        <v>204923.78659712826</v>
      </c>
      <c r="W296" s="13">
        <v>206923.78659712826</v>
      </c>
      <c r="X296" s="13">
        <v>208923.78659712826</v>
      </c>
    </row>
    <row r="297" spans="1:24" x14ac:dyDescent="0.35">
      <c r="A297" s="34">
        <v>270</v>
      </c>
      <c r="B297" s="2">
        <v>0.45710817986529384</v>
      </c>
      <c r="C297" s="91">
        <f t="shared" si="11"/>
        <v>28.922781791910747</v>
      </c>
      <c r="D297" s="13">
        <v>126768.34537573229</v>
      </c>
      <c r="E297" s="13">
        <v>128768.34537573229</v>
      </c>
      <c r="F297" s="13">
        <v>130768.34537573229</v>
      </c>
      <c r="G297" s="13">
        <v>132768.34537573229</v>
      </c>
      <c r="H297" s="13">
        <v>134768.34537573229</v>
      </c>
      <c r="I297" s="13">
        <v>136768.34537573229</v>
      </c>
      <c r="J297" s="13">
        <v>138768.34537573229</v>
      </c>
      <c r="K297" s="13">
        <v>140768.34537573229</v>
      </c>
      <c r="L297" s="13">
        <v>142768.34537573229</v>
      </c>
      <c r="M297" s="13">
        <v>144382.25433528598</v>
      </c>
      <c r="N297" s="13">
        <v>141382.25433528598</v>
      </c>
      <c r="O297" s="13">
        <v>138382.25433528598</v>
      </c>
      <c r="P297" s="13">
        <v>135382.25433528598</v>
      </c>
      <c r="Q297" s="13">
        <v>132382.25433528598</v>
      </c>
      <c r="R297" s="13">
        <v>129382.25433528598</v>
      </c>
      <c r="S297" s="13">
        <v>126382.25433528598</v>
      </c>
      <c r="T297" s="13">
        <v>123382.25433528598</v>
      </c>
      <c r="U297" s="13">
        <v>120382.25433528598</v>
      </c>
      <c r="V297" s="13">
        <v>117382.25433528598</v>
      </c>
      <c r="W297" s="13">
        <v>114382.25433528598</v>
      </c>
      <c r="X297" s="13">
        <v>111382.25433528598</v>
      </c>
    </row>
    <row r="298" spans="1:24" x14ac:dyDescent="0.35">
      <c r="A298" s="34">
        <v>271</v>
      </c>
      <c r="B298" s="2">
        <v>0.8616675983167803</v>
      </c>
      <c r="C298" s="91">
        <f t="shared" si="11"/>
        <v>40.878421385102428</v>
      </c>
      <c r="D298" s="13">
        <v>162635.26415530732</v>
      </c>
      <c r="E298" s="13">
        <v>164635.26415530732</v>
      </c>
      <c r="F298" s="13">
        <v>166635.26415530732</v>
      </c>
      <c r="G298" s="13">
        <v>168635.26415530732</v>
      </c>
      <c r="H298" s="13">
        <v>170635.26415530732</v>
      </c>
      <c r="I298" s="13">
        <v>172635.26415530732</v>
      </c>
      <c r="J298" s="13">
        <v>174635.26415530732</v>
      </c>
      <c r="K298" s="13">
        <v>176635.26415530732</v>
      </c>
      <c r="L298" s="13">
        <v>178635.26415530732</v>
      </c>
      <c r="M298" s="13">
        <v>180635.26415530732</v>
      </c>
      <c r="N298" s="13">
        <v>182635.26415530732</v>
      </c>
      <c r="O298" s="13">
        <v>184635.26415530732</v>
      </c>
      <c r="P298" s="13">
        <v>186635.26415530732</v>
      </c>
      <c r="Q298" s="13">
        <v>188635.26415530732</v>
      </c>
      <c r="R298" s="13">
        <v>190635.26415530732</v>
      </c>
      <c r="S298" s="13">
        <v>192635.26415530732</v>
      </c>
      <c r="T298" s="13">
        <v>194635.2641553072</v>
      </c>
      <c r="U298" s="13">
        <v>196635.2641553072</v>
      </c>
      <c r="V298" s="13">
        <v>198635.2641553072</v>
      </c>
      <c r="W298" s="13">
        <v>200635.2641553072</v>
      </c>
      <c r="X298" s="13">
        <v>202635.2641553072</v>
      </c>
    </row>
    <row r="299" spans="1:24" x14ac:dyDescent="0.35">
      <c r="A299" s="34">
        <v>272</v>
      </c>
      <c r="B299" s="2">
        <v>0.74388555198567519</v>
      </c>
      <c r="C299" s="91">
        <f t="shared" si="11"/>
        <v>36.55371034387872</v>
      </c>
      <c r="D299" s="13">
        <v>149661.13103163627</v>
      </c>
      <c r="E299" s="13">
        <v>151661.13103163627</v>
      </c>
      <c r="F299" s="13">
        <v>153661.13103163627</v>
      </c>
      <c r="G299" s="13">
        <v>155661.13103163627</v>
      </c>
      <c r="H299" s="13">
        <v>157661.13103163627</v>
      </c>
      <c r="I299" s="13">
        <v>159661.13103163615</v>
      </c>
      <c r="J299" s="13">
        <v>161661.13103163615</v>
      </c>
      <c r="K299" s="13">
        <v>163661.13103163615</v>
      </c>
      <c r="L299" s="13">
        <v>165661.13103163615</v>
      </c>
      <c r="M299" s="13">
        <v>167661.13103163615</v>
      </c>
      <c r="N299" s="13">
        <v>169661.13103163615</v>
      </c>
      <c r="O299" s="13">
        <v>171661.13103163615</v>
      </c>
      <c r="P299" s="13">
        <v>173661.13103163615</v>
      </c>
      <c r="Q299" s="13">
        <v>175661.13103163615</v>
      </c>
      <c r="R299" s="13">
        <v>177661.13103163615</v>
      </c>
      <c r="S299" s="13">
        <v>179661.13103163615</v>
      </c>
      <c r="T299" s="13">
        <v>181661.13103163615</v>
      </c>
      <c r="U299" s="13">
        <v>181429.68275102973</v>
      </c>
      <c r="V299" s="13">
        <v>178429.68275102973</v>
      </c>
      <c r="W299" s="13">
        <v>175429.68275102973</v>
      </c>
      <c r="X299" s="13">
        <v>172429.68275102973</v>
      </c>
    </row>
    <row r="300" spans="1:24" x14ac:dyDescent="0.35">
      <c r="A300" s="34">
        <v>273</v>
      </c>
      <c r="B300" s="2">
        <v>0.27937705916779298</v>
      </c>
      <c r="C300" s="91">
        <f t="shared" si="11"/>
        <v>24.153069355333276</v>
      </c>
      <c r="D300" s="13">
        <v>112459.20806599979</v>
      </c>
      <c r="E300" s="13">
        <v>114459.20806599979</v>
      </c>
      <c r="F300" s="13">
        <v>116459.20806599979</v>
      </c>
      <c r="G300" s="13">
        <v>118459.20806599979</v>
      </c>
      <c r="H300" s="13">
        <v>120459.20806599979</v>
      </c>
      <c r="I300" s="13">
        <v>118224.55484266614</v>
      </c>
      <c r="J300" s="13">
        <v>115224.55484266614</v>
      </c>
      <c r="K300" s="13">
        <v>112224.55484266614</v>
      </c>
      <c r="L300" s="13">
        <v>109224.55484266614</v>
      </c>
      <c r="M300" s="13">
        <v>106224.55484266614</v>
      </c>
      <c r="N300" s="13">
        <v>103224.55484266614</v>
      </c>
      <c r="O300" s="13">
        <v>100224.55484266614</v>
      </c>
      <c r="P300" s="13">
        <v>97224.554842666257</v>
      </c>
      <c r="Q300" s="13">
        <v>94224.554842666257</v>
      </c>
      <c r="R300" s="13">
        <v>91224.554842666257</v>
      </c>
      <c r="S300" s="13">
        <v>88224.554842666257</v>
      </c>
      <c r="T300" s="13">
        <v>85224.554842666257</v>
      </c>
      <c r="U300" s="13">
        <v>82224.554842666257</v>
      </c>
      <c r="V300" s="13">
        <v>79224.554842666257</v>
      </c>
      <c r="W300" s="13">
        <v>76224.554842666257</v>
      </c>
      <c r="X300" s="13">
        <v>73224.554842666257</v>
      </c>
    </row>
    <row r="301" spans="1:24" x14ac:dyDescent="0.35">
      <c r="A301" s="34">
        <v>274</v>
      </c>
      <c r="B301" s="2">
        <v>0.36985273314081446</v>
      </c>
      <c r="C301" s="91">
        <f t="shared" si="11"/>
        <v>26.677565887506148</v>
      </c>
      <c r="D301" s="13">
        <v>120032.69766251848</v>
      </c>
      <c r="E301" s="13">
        <v>122032.69766251848</v>
      </c>
      <c r="F301" s="13">
        <v>124032.69766251848</v>
      </c>
      <c r="G301" s="13">
        <v>126032.69766251848</v>
      </c>
      <c r="H301" s="13">
        <v>128032.69766251848</v>
      </c>
      <c r="I301" s="13">
        <v>130032.69766251848</v>
      </c>
      <c r="J301" s="13">
        <v>132032.69766251848</v>
      </c>
      <c r="K301" s="13">
        <v>132420.52710004919</v>
      </c>
      <c r="L301" s="13">
        <v>129420.52710004919</v>
      </c>
      <c r="M301" s="13">
        <v>126420.52710004919</v>
      </c>
      <c r="N301" s="13">
        <v>123420.52710004919</v>
      </c>
      <c r="O301" s="13">
        <v>120420.52710004919</v>
      </c>
      <c r="P301" s="13">
        <v>117420.52710004919</v>
      </c>
      <c r="Q301" s="13">
        <v>114420.52710004919</v>
      </c>
      <c r="R301" s="13">
        <v>111420.52710004919</v>
      </c>
      <c r="S301" s="13">
        <v>108420.52710004919</v>
      </c>
      <c r="T301" s="13">
        <v>105420.52710004919</v>
      </c>
      <c r="U301" s="13">
        <v>102420.52710004919</v>
      </c>
      <c r="V301" s="13">
        <v>99420.527100049192</v>
      </c>
      <c r="W301" s="13">
        <v>96420.527100049192</v>
      </c>
      <c r="X301" s="13">
        <v>93420.527100049192</v>
      </c>
    </row>
    <row r="302" spans="1:24" x14ac:dyDescent="0.35">
      <c r="A302" s="34">
        <v>275</v>
      </c>
      <c r="B302" s="2">
        <v>0.60840268729805536</v>
      </c>
      <c r="C302" s="91">
        <f t="shared" si="11"/>
        <v>32.751582963167721</v>
      </c>
      <c r="D302" s="13">
        <v>138254.74888950307</v>
      </c>
      <c r="E302" s="13">
        <v>140254.74888950307</v>
      </c>
      <c r="F302" s="13">
        <v>142254.74888950307</v>
      </c>
      <c r="G302" s="13">
        <v>144254.74888950319</v>
      </c>
      <c r="H302" s="13">
        <v>146254.74888950319</v>
      </c>
      <c r="I302" s="13">
        <v>148254.74888950319</v>
      </c>
      <c r="J302" s="13">
        <v>150254.74888950319</v>
      </c>
      <c r="K302" s="13">
        <v>152254.74888950319</v>
      </c>
      <c r="L302" s="13">
        <v>154254.74888950319</v>
      </c>
      <c r="M302" s="13">
        <v>156254.74888950319</v>
      </c>
      <c r="N302" s="13">
        <v>158254.74888950319</v>
      </c>
      <c r="O302" s="13">
        <v>160254.74888950319</v>
      </c>
      <c r="P302" s="13">
        <v>162254.74888950319</v>
      </c>
      <c r="Q302" s="13">
        <v>163012.66370534175</v>
      </c>
      <c r="R302" s="13">
        <v>160012.66370534175</v>
      </c>
      <c r="S302" s="13">
        <v>157012.66370534175</v>
      </c>
      <c r="T302" s="13">
        <v>154012.66370534175</v>
      </c>
      <c r="U302" s="13">
        <v>151012.66370534175</v>
      </c>
      <c r="V302" s="13">
        <v>148012.66370534175</v>
      </c>
      <c r="W302" s="13">
        <v>145012.66370534175</v>
      </c>
      <c r="X302" s="13">
        <v>142012.66370534175</v>
      </c>
    </row>
    <row r="303" spans="1:24" x14ac:dyDescent="0.35">
      <c r="A303" s="34">
        <v>276</v>
      </c>
      <c r="B303" s="2">
        <v>0.80030851675505976</v>
      </c>
      <c r="C303" s="91">
        <f t="shared" si="11"/>
        <v>38.427237405659227</v>
      </c>
      <c r="D303" s="13">
        <v>155281.71221697773</v>
      </c>
      <c r="E303" s="13">
        <v>157281.71221697773</v>
      </c>
      <c r="F303" s="13">
        <v>159281.71221697773</v>
      </c>
      <c r="G303" s="13">
        <v>161281.71221697773</v>
      </c>
      <c r="H303" s="13">
        <v>163281.71221697773</v>
      </c>
      <c r="I303" s="13">
        <v>165281.71221697773</v>
      </c>
      <c r="J303" s="13">
        <v>167281.71221697773</v>
      </c>
      <c r="K303" s="13">
        <v>169281.71221697773</v>
      </c>
      <c r="L303" s="13">
        <v>171281.71221697761</v>
      </c>
      <c r="M303" s="13">
        <v>173281.71221697761</v>
      </c>
      <c r="N303" s="13">
        <v>175281.71221697761</v>
      </c>
      <c r="O303" s="13">
        <v>177281.71221697761</v>
      </c>
      <c r="P303" s="13">
        <v>179281.71221697761</v>
      </c>
      <c r="Q303" s="13">
        <v>181281.71221697761</v>
      </c>
      <c r="R303" s="13">
        <v>183281.71221697761</v>
      </c>
      <c r="S303" s="13">
        <v>185281.71221697761</v>
      </c>
      <c r="T303" s="13">
        <v>187281.71221697761</v>
      </c>
      <c r="U303" s="13">
        <v>189281.71221697761</v>
      </c>
      <c r="V303" s="13">
        <v>191281.71221697761</v>
      </c>
      <c r="W303" s="13">
        <v>190417.89924527379</v>
      </c>
      <c r="X303" s="13">
        <v>187417.89924527379</v>
      </c>
    </row>
    <row r="304" spans="1:24" x14ac:dyDescent="0.35">
      <c r="A304" s="34">
        <v>277</v>
      </c>
      <c r="B304" s="2">
        <v>0.92074924973811956</v>
      </c>
      <c r="C304" s="91">
        <f t="shared" si="11"/>
        <v>44.101293221732647</v>
      </c>
      <c r="D304" s="13">
        <v>172303.87966519792</v>
      </c>
      <c r="E304" s="13">
        <v>174303.87966519804</v>
      </c>
      <c r="F304" s="13">
        <v>176303.87966519804</v>
      </c>
      <c r="G304" s="13">
        <v>178303.87966519804</v>
      </c>
      <c r="H304" s="13">
        <v>180303.87966519804</v>
      </c>
      <c r="I304" s="13">
        <v>182303.87966519804</v>
      </c>
      <c r="J304" s="13">
        <v>184303.87966519804</v>
      </c>
      <c r="K304" s="13">
        <v>186303.87966519804</v>
      </c>
      <c r="L304" s="13">
        <v>188303.87966519804</v>
      </c>
      <c r="M304" s="13">
        <v>190303.87966519804</v>
      </c>
      <c r="N304" s="13">
        <v>192303.87966519804</v>
      </c>
      <c r="O304" s="13">
        <v>194303.87966519804</v>
      </c>
      <c r="P304" s="13">
        <v>196303.87966519804</v>
      </c>
      <c r="Q304" s="13">
        <v>198303.87966519804</v>
      </c>
      <c r="R304" s="13">
        <v>200303.87966519804</v>
      </c>
      <c r="S304" s="13">
        <v>202303.87966519804</v>
      </c>
      <c r="T304" s="13">
        <v>204303.87966519804</v>
      </c>
      <c r="U304" s="13">
        <v>206303.87966519804</v>
      </c>
      <c r="V304" s="13">
        <v>208303.87966519804</v>
      </c>
      <c r="W304" s="13">
        <v>210303.87966519804</v>
      </c>
      <c r="X304" s="13">
        <v>212303.87966519804</v>
      </c>
    </row>
    <row r="305" spans="1:24" x14ac:dyDescent="0.35">
      <c r="A305" s="34">
        <v>278</v>
      </c>
      <c r="B305" s="2">
        <v>0.28006464481737936</v>
      </c>
      <c r="C305" s="91">
        <f t="shared" si="11"/>
        <v>24.173505210037874</v>
      </c>
      <c r="D305" s="13">
        <v>112520.51563011366</v>
      </c>
      <c r="E305" s="13">
        <v>114520.51563011366</v>
      </c>
      <c r="F305" s="13">
        <v>116520.51563011366</v>
      </c>
      <c r="G305" s="13">
        <v>118520.5156301136</v>
      </c>
      <c r="H305" s="13">
        <v>120520.5156301136</v>
      </c>
      <c r="I305" s="13">
        <v>118388.04168030305</v>
      </c>
      <c r="J305" s="13">
        <v>115388.04168030305</v>
      </c>
      <c r="K305" s="13">
        <v>112388.04168030294</v>
      </c>
      <c r="L305" s="13">
        <v>109388.04168030294</v>
      </c>
      <c r="M305" s="13">
        <v>106388.04168030294</v>
      </c>
      <c r="N305" s="13">
        <v>103388.04168030294</v>
      </c>
      <c r="O305" s="13">
        <v>100388.04168030294</v>
      </c>
      <c r="P305" s="13">
        <v>97388.041680302937</v>
      </c>
      <c r="Q305" s="13">
        <v>94388.041680302937</v>
      </c>
      <c r="R305" s="13">
        <v>91388.041680302937</v>
      </c>
      <c r="S305" s="13">
        <v>88388.041680302937</v>
      </c>
      <c r="T305" s="13">
        <v>85388.041680302937</v>
      </c>
      <c r="U305" s="13">
        <v>82388.041680302937</v>
      </c>
      <c r="V305" s="13">
        <v>79388.041680302937</v>
      </c>
      <c r="W305" s="13">
        <v>76388.041680302937</v>
      </c>
      <c r="X305" s="13">
        <v>73388.041680302937</v>
      </c>
    </row>
    <row r="306" spans="1:24" x14ac:dyDescent="0.35">
      <c r="A306" s="34">
        <v>279</v>
      </c>
      <c r="B306" s="2">
        <v>0.82426097812607091</v>
      </c>
      <c r="C306" s="91">
        <f t="shared" si="11"/>
        <v>39.317261980810244</v>
      </c>
      <c r="D306" s="13">
        <v>157951.78594243072</v>
      </c>
      <c r="E306" s="13">
        <v>159951.78594243072</v>
      </c>
      <c r="F306" s="13">
        <v>161951.78594243072</v>
      </c>
      <c r="G306" s="13">
        <v>163951.78594243072</v>
      </c>
      <c r="H306" s="13">
        <v>165951.78594243072</v>
      </c>
      <c r="I306" s="13">
        <v>167951.78594243072</v>
      </c>
      <c r="J306" s="13">
        <v>169951.78594243072</v>
      </c>
      <c r="K306" s="13">
        <v>171951.78594243072</v>
      </c>
      <c r="L306" s="13">
        <v>173951.78594243072</v>
      </c>
      <c r="M306" s="13">
        <v>175951.78594243072</v>
      </c>
      <c r="N306" s="13">
        <v>177951.78594243072</v>
      </c>
      <c r="O306" s="13">
        <v>179951.78594243072</v>
      </c>
      <c r="P306" s="13">
        <v>181951.78594243072</v>
      </c>
      <c r="Q306" s="13">
        <v>183951.78594243072</v>
      </c>
      <c r="R306" s="13">
        <v>185951.78594243072</v>
      </c>
      <c r="S306" s="13">
        <v>187951.78594243072</v>
      </c>
      <c r="T306" s="13">
        <v>189951.78594243072</v>
      </c>
      <c r="U306" s="13">
        <v>191951.78594243072</v>
      </c>
      <c r="V306" s="13">
        <v>193951.78594243072</v>
      </c>
      <c r="W306" s="13">
        <v>195951.78594243072</v>
      </c>
      <c r="X306" s="13">
        <v>194538.09584648197</v>
      </c>
    </row>
    <row r="307" spans="1:24" x14ac:dyDescent="0.35">
      <c r="A307" s="34">
        <v>280</v>
      </c>
      <c r="B307" s="2">
        <v>0.40206768612149468</v>
      </c>
      <c r="C307" s="91">
        <f t="shared" si="11"/>
        <v>27.520012477880851</v>
      </c>
      <c r="D307" s="13">
        <v>122560.03743364254</v>
      </c>
      <c r="E307" s="13">
        <v>124560.03743364254</v>
      </c>
      <c r="F307" s="13">
        <v>126560.03743364254</v>
      </c>
      <c r="G307" s="13">
        <v>128560.03743364254</v>
      </c>
      <c r="H307" s="13">
        <v>130560.03743364254</v>
      </c>
      <c r="I307" s="13">
        <v>132560.03743364254</v>
      </c>
      <c r="J307" s="13">
        <v>134560.03743364254</v>
      </c>
      <c r="K307" s="13">
        <v>136560.03743364254</v>
      </c>
      <c r="L307" s="13">
        <v>136160.09982304682</v>
      </c>
      <c r="M307" s="13">
        <v>133160.09982304682</v>
      </c>
      <c r="N307" s="13">
        <v>130160.09982304682</v>
      </c>
      <c r="O307" s="13">
        <v>127160.09982304682</v>
      </c>
      <c r="P307" s="13">
        <v>124160.09982304682</v>
      </c>
      <c r="Q307" s="13">
        <v>121160.09982304682</v>
      </c>
      <c r="R307" s="13">
        <v>118160.09982304682</v>
      </c>
      <c r="S307" s="13">
        <v>115160.09982304682</v>
      </c>
      <c r="T307" s="13">
        <v>112160.09982304682</v>
      </c>
      <c r="U307" s="13">
        <v>109160.09982304682</v>
      </c>
      <c r="V307" s="13">
        <v>106160.09982304682</v>
      </c>
      <c r="W307" s="13">
        <v>103160.09982304682</v>
      </c>
      <c r="X307" s="13">
        <v>100160.09982304682</v>
      </c>
    </row>
    <row r="308" spans="1:24" x14ac:dyDescent="0.35">
      <c r="A308" s="34">
        <v>281</v>
      </c>
      <c r="B308" s="2">
        <v>0.91572761108552203</v>
      </c>
      <c r="C308" s="91">
        <f t="shared" si="11"/>
        <v>43.768947913181847</v>
      </c>
      <c r="D308" s="13">
        <v>171306.84373954555</v>
      </c>
      <c r="E308" s="13">
        <v>173306.84373954555</v>
      </c>
      <c r="F308" s="13">
        <v>175306.84373954555</v>
      </c>
      <c r="G308" s="13">
        <v>177306.84373954555</v>
      </c>
      <c r="H308" s="13">
        <v>179306.84373954555</v>
      </c>
      <c r="I308" s="13">
        <v>181306.84373954555</v>
      </c>
      <c r="J308" s="13">
        <v>183306.84373954555</v>
      </c>
      <c r="K308" s="13">
        <v>185306.84373954555</v>
      </c>
      <c r="L308" s="13">
        <v>187306.84373954555</v>
      </c>
      <c r="M308" s="13">
        <v>189306.84373954555</v>
      </c>
      <c r="N308" s="13">
        <v>191306.84373954555</v>
      </c>
      <c r="O308" s="13">
        <v>193306.84373954555</v>
      </c>
      <c r="P308" s="13">
        <v>195306.84373954555</v>
      </c>
      <c r="Q308" s="13">
        <v>197306.84373954555</v>
      </c>
      <c r="R308" s="13">
        <v>199306.84373954555</v>
      </c>
      <c r="S308" s="13">
        <v>201306.84373954555</v>
      </c>
      <c r="T308" s="13">
        <v>203306.84373954555</v>
      </c>
      <c r="U308" s="13">
        <v>205306.84373954555</v>
      </c>
      <c r="V308" s="13">
        <v>207306.84373954555</v>
      </c>
      <c r="W308" s="13">
        <v>209306.84373954555</v>
      </c>
      <c r="X308" s="13">
        <v>211306.84373954555</v>
      </c>
    </row>
    <row r="309" spans="1:24" x14ac:dyDescent="0.35">
      <c r="A309" s="34">
        <v>282</v>
      </c>
      <c r="B309" s="2">
        <v>0.75269973186218386</v>
      </c>
      <c r="C309" s="91">
        <f t="shared" si="11"/>
        <v>36.830099799927261</v>
      </c>
      <c r="D309" s="13">
        <v>150490.29939978174</v>
      </c>
      <c r="E309" s="13">
        <v>152490.29939978174</v>
      </c>
      <c r="F309" s="13">
        <v>154490.29939978174</v>
      </c>
      <c r="G309" s="13">
        <v>156490.29939978174</v>
      </c>
      <c r="H309" s="13">
        <v>158490.29939978174</v>
      </c>
      <c r="I309" s="13">
        <v>160490.29939978174</v>
      </c>
      <c r="J309" s="13">
        <v>162490.29939978174</v>
      </c>
      <c r="K309" s="13">
        <v>164490.29939978174</v>
      </c>
      <c r="L309" s="13">
        <v>166490.29939978174</v>
      </c>
      <c r="M309" s="13">
        <v>168490.29939978174</v>
      </c>
      <c r="N309" s="13">
        <v>170490.29939978174</v>
      </c>
      <c r="O309" s="13">
        <v>172490.29939978174</v>
      </c>
      <c r="P309" s="13">
        <v>174490.29939978174</v>
      </c>
      <c r="Q309" s="13">
        <v>176490.29939978174</v>
      </c>
      <c r="R309" s="13">
        <v>178490.29939978174</v>
      </c>
      <c r="S309" s="13">
        <v>180490.29939978174</v>
      </c>
      <c r="T309" s="13">
        <v>182490.29939978174</v>
      </c>
      <c r="U309" s="13">
        <v>183640.79839941801</v>
      </c>
      <c r="V309" s="13">
        <v>180640.79839941801</v>
      </c>
      <c r="W309" s="13">
        <v>177640.79839941801</v>
      </c>
      <c r="X309" s="13">
        <v>174640.79839941801</v>
      </c>
    </row>
    <row r="310" spans="1:24" x14ac:dyDescent="0.35">
      <c r="A310" s="34">
        <v>283</v>
      </c>
      <c r="B310" s="2">
        <v>0.39978791261718183</v>
      </c>
      <c r="C310" s="91">
        <f t="shared" si="11"/>
        <v>27.461038966253209</v>
      </c>
      <c r="D310" s="13">
        <v>122383.11689875962</v>
      </c>
      <c r="E310" s="13">
        <v>124383.11689875962</v>
      </c>
      <c r="F310" s="13">
        <v>126383.11689875962</v>
      </c>
      <c r="G310" s="13">
        <v>128383.11689875962</v>
      </c>
      <c r="H310" s="13">
        <v>130383.11689875962</v>
      </c>
      <c r="I310" s="13">
        <v>132383.11689875962</v>
      </c>
      <c r="J310" s="13">
        <v>134383.11689875962</v>
      </c>
      <c r="K310" s="13">
        <v>136383.11689875962</v>
      </c>
      <c r="L310" s="13">
        <v>135688.31173002569</v>
      </c>
      <c r="M310" s="13">
        <v>132688.31173002569</v>
      </c>
      <c r="N310" s="13">
        <v>129688.31173002569</v>
      </c>
      <c r="O310" s="13">
        <v>126688.31173002569</v>
      </c>
      <c r="P310" s="13">
        <v>123688.31173002569</v>
      </c>
      <c r="Q310" s="13">
        <v>120688.31173002569</v>
      </c>
      <c r="R310" s="13">
        <v>117688.31173002569</v>
      </c>
      <c r="S310" s="13">
        <v>114688.31173002569</v>
      </c>
      <c r="T310" s="13">
        <v>111688.31173002569</v>
      </c>
      <c r="U310" s="13">
        <v>108688.31173002569</v>
      </c>
      <c r="V310" s="13">
        <v>105688.31173002569</v>
      </c>
      <c r="W310" s="13">
        <v>102688.31173002569</v>
      </c>
      <c r="X310" s="13">
        <v>99688.311730025685</v>
      </c>
    </row>
    <row r="311" spans="1:24" x14ac:dyDescent="0.35">
      <c r="A311" s="34">
        <v>284</v>
      </c>
      <c r="B311" s="2">
        <v>0.65277625087846791</v>
      </c>
      <c r="C311" s="91">
        <f t="shared" si="11"/>
        <v>33.928266792802646</v>
      </c>
      <c r="D311" s="13">
        <v>141784.80037840782</v>
      </c>
      <c r="E311" s="13">
        <v>143784.80037840782</v>
      </c>
      <c r="F311" s="13">
        <v>145784.80037840782</v>
      </c>
      <c r="G311" s="13">
        <v>147784.80037840782</v>
      </c>
      <c r="H311" s="13">
        <v>149784.80037840782</v>
      </c>
      <c r="I311" s="13">
        <v>151784.80037840782</v>
      </c>
      <c r="J311" s="13">
        <v>153784.80037840782</v>
      </c>
      <c r="K311" s="13">
        <v>155784.80037840782</v>
      </c>
      <c r="L311" s="13">
        <v>157784.80037840782</v>
      </c>
      <c r="M311" s="13">
        <v>159784.80037840782</v>
      </c>
      <c r="N311" s="13">
        <v>161784.80037840782</v>
      </c>
      <c r="O311" s="13">
        <v>163784.80037840782</v>
      </c>
      <c r="P311" s="13">
        <v>165784.80037840793</v>
      </c>
      <c r="Q311" s="13">
        <v>167784.80037840793</v>
      </c>
      <c r="R311" s="13">
        <v>169426.1343424212</v>
      </c>
      <c r="S311" s="13">
        <v>166426.1343424212</v>
      </c>
      <c r="T311" s="13">
        <v>163426.1343424212</v>
      </c>
      <c r="U311" s="13">
        <v>160426.1343424212</v>
      </c>
      <c r="V311" s="13">
        <v>157426.1343424212</v>
      </c>
      <c r="W311" s="13">
        <v>154426.1343424212</v>
      </c>
      <c r="X311" s="13">
        <v>151426.1343424212</v>
      </c>
    </row>
    <row r="312" spans="1:24" x14ac:dyDescent="0.35">
      <c r="A312" s="34">
        <v>285</v>
      </c>
      <c r="B312" s="2">
        <v>0.80996323179948482</v>
      </c>
      <c r="C312" s="91">
        <f t="shared" si="11"/>
        <v>38.777608097207576</v>
      </c>
      <c r="D312" s="13">
        <v>156332.82429162273</v>
      </c>
      <c r="E312" s="13">
        <v>158332.82429162273</v>
      </c>
      <c r="F312" s="13">
        <v>160332.82429162273</v>
      </c>
      <c r="G312" s="13">
        <v>162332.82429162273</v>
      </c>
      <c r="H312" s="13">
        <v>164332.82429162273</v>
      </c>
      <c r="I312" s="13">
        <v>166332.82429162273</v>
      </c>
      <c r="J312" s="13">
        <v>168332.82429162273</v>
      </c>
      <c r="K312" s="13">
        <v>170332.82429162273</v>
      </c>
      <c r="L312" s="13">
        <v>172332.82429162273</v>
      </c>
      <c r="M312" s="13">
        <v>174332.82429162273</v>
      </c>
      <c r="N312" s="13">
        <v>176332.82429162273</v>
      </c>
      <c r="O312" s="13">
        <v>178332.82429162273</v>
      </c>
      <c r="P312" s="13">
        <v>180332.82429162273</v>
      </c>
      <c r="Q312" s="13">
        <v>182332.82429162273</v>
      </c>
      <c r="R312" s="13">
        <v>184332.82429162273</v>
      </c>
      <c r="S312" s="13">
        <v>186332.82429162273</v>
      </c>
      <c r="T312" s="13">
        <v>188332.82429162273</v>
      </c>
      <c r="U312" s="13">
        <v>190332.82429162273</v>
      </c>
      <c r="V312" s="13">
        <v>192332.82429162273</v>
      </c>
      <c r="W312" s="13">
        <v>193220.86477766058</v>
      </c>
      <c r="X312" s="13">
        <v>190220.86477766058</v>
      </c>
    </row>
    <row r="313" spans="1:24" x14ac:dyDescent="0.35">
      <c r="A313" s="34">
        <v>286</v>
      </c>
      <c r="B313" s="2">
        <v>7.9783346720501136E-2</v>
      </c>
      <c r="C313" s="91">
        <f t="shared" si="11"/>
        <v>15.934696317418169</v>
      </c>
      <c r="D313" s="13">
        <v>67477.570539345383</v>
      </c>
      <c r="E313" s="13">
        <v>64477.570539345383</v>
      </c>
      <c r="F313" s="13">
        <v>61477.570539345383</v>
      </c>
      <c r="G313" s="13">
        <v>58477.570539345383</v>
      </c>
      <c r="H313" s="13">
        <v>55477.570539345383</v>
      </c>
      <c r="I313" s="13">
        <v>52477.570539345383</v>
      </c>
      <c r="J313" s="13">
        <v>49477.570539345383</v>
      </c>
      <c r="K313" s="13">
        <v>46477.570539345383</v>
      </c>
      <c r="L313" s="13">
        <v>43477.570539345383</v>
      </c>
      <c r="M313" s="13">
        <v>40477.570539345383</v>
      </c>
      <c r="N313" s="13">
        <v>37477.570539345383</v>
      </c>
      <c r="O313" s="13">
        <v>34477.570539345383</v>
      </c>
      <c r="P313" s="13">
        <v>31477.570539345266</v>
      </c>
      <c r="Q313" s="13">
        <v>28477.570539345266</v>
      </c>
      <c r="R313" s="13">
        <v>25477.570539345266</v>
      </c>
      <c r="S313" s="13">
        <v>22477.570539345266</v>
      </c>
      <c r="T313" s="13">
        <v>19477.570539345266</v>
      </c>
      <c r="U313" s="13">
        <v>16477.570539345266</v>
      </c>
      <c r="V313" s="13">
        <v>13477.570539345266</v>
      </c>
      <c r="W313" s="13">
        <v>10477.570539345266</v>
      </c>
      <c r="X313" s="13">
        <v>7477.5705393452663</v>
      </c>
    </row>
    <row r="314" spans="1:24" x14ac:dyDescent="0.35">
      <c r="A314" s="34">
        <v>287</v>
      </c>
      <c r="B314" s="2">
        <v>0.4833033290248403</v>
      </c>
      <c r="C314" s="91">
        <f t="shared" si="11"/>
        <v>29.581354267173573</v>
      </c>
      <c r="D314" s="13">
        <v>128744.06280152069</v>
      </c>
      <c r="E314" s="13">
        <v>130744.06280152069</v>
      </c>
      <c r="F314" s="13">
        <v>132744.06280152069</v>
      </c>
      <c r="G314" s="13">
        <v>134744.06280152069</v>
      </c>
      <c r="H314" s="13">
        <v>136744.06280152069</v>
      </c>
      <c r="I314" s="13">
        <v>138744.06280152069</v>
      </c>
      <c r="J314" s="13">
        <v>140744.06280152069</v>
      </c>
      <c r="K314" s="13">
        <v>142744.06280152069</v>
      </c>
      <c r="L314" s="13">
        <v>144744.06280152069</v>
      </c>
      <c r="M314" s="13">
        <v>146744.06280152069</v>
      </c>
      <c r="N314" s="13">
        <v>146650.83413738862</v>
      </c>
      <c r="O314" s="13">
        <v>143650.83413738862</v>
      </c>
      <c r="P314" s="13">
        <v>140650.83413738851</v>
      </c>
      <c r="Q314" s="13">
        <v>137650.83413738851</v>
      </c>
      <c r="R314" s="13">
        <v>134650.83413738851</v>
      </c>
      <c r="S314" s="13">
        <v>131650.83413738851</v>
      </c>
      <c r="T314" s="13">
        <v>128650.83413738851</v>
      </c>
      <c r="U314" s="13">
        <v>125650.83413738851</v>
      </c>
      <c r="V314" s="13">
        <v>122650.83413738851</v>
      </c>
      <c r="W314" s="13">
        <v>119650.83413738851</v>
      </c>
      <c r="X314" s="13">
        <v>116650.83413738851</v>
      </c>
    </row>
    <row r="315" spans="1:24" x14ac:dyDescent="0.35">
      <c r="A315" s="34">
        <v>288</v>
      </c>
      <c r="B315" s="2">
        <v>0.45216110190114056</v>
      </c>
      <c r="C315" s="91">
        <f t="shared" si="11"/>
        <v>28.797968263563153</v>
      </c>
      <c r="D315" s="13">
        <v>126393.90479068947</v>
      </c>
      <c r="E315" s="13">
        <v>128393.90479068947</v>
      </c>
      <c r="F315" s="13">
        <v>130393.90479068947</v>
      </c>
      <c r="G315" s="13">
        <v>132393.90479068947</v>
      </c>
      <c r="H315" s="13">
        <v>134393.90479068947</v>
      </c>
      <c r="I315" s="13">
        <v>136393.90479068947</v>
      </c>
      <c r="J315" s="13">
        <v>138393.90479068935</v>
      </c>
      <c r="K315" s="13">
        <v>140393.90479068935</v>
      </c>
      <c r="L315" s="13">
        <v>142393.90479068935</v>
      </c>
      <c r="M315" s="13">
        <v>143383.74610850518</v>
      </c>
      <c r="N315" s="13">
        <v>140383.74610850518</v>
      </c>
      <c r="O315" s="13">
        <v>137383.74610850518</v>
      </c>
      <c r="P315" s="13">
        <v>134383.74610850518</v>
      </c>
      <c r="Q315" s="13">
        <v>131383.74610850518</v>
      </c>
      <c r="R315" s="13">
        <v>128383.74610850518</v>
      </c>
      <c r="S315" s="13">
        <v>125383.74610850518</v>
      </c>
      <c r="T315" s="13">
        <v>122383.74610850518</v>
      </c>
      <c r="U315" s="13">
        <v>119383.74610850518</v>
      </c>
      <c r="V315" s="13">
        <v>116383.74610850518</v>
      </c>
      <c r="W315" s="13">
        <v>113383.74610850518</v>
      </c>
      <c r="X315" s="13">
        <v>110383.74610850518</v>
      </c>
    </row>
    <row r="316" spans="1:24" x14ac:dyDescent="0.35">
      <c r="A316" s="34">
        <v>289</v>
      </c>
      <c r="B316" s="2">
        <v>0.84075752329328346</v>
      </c>
      <c r="C316" s="91">
        <f t="shared" si="11"/>
        <v>39.975761036586896</v>
      </c>
      <c r="D316" s="13">
        <v>159927.28310976073</v>
      </c>
      <c r="E316" s="13">
        <v>161927.28310976073</v>
      </c>
      <c r="F316" s="13">
        <v>163927.28310976073</v>
      </c>
      <c r="G316" s="13">
        <v>165927.28310976073</v>
      </c>
      <c r="H316" s="13">
        <v>167927.28310976073</v>
      </c>
      <c r="I316" s="13">
        <v>169927.28310976073</v>
      </c>
      <c r="J316" s="13">
        <v>171927.28310976073</v>
      </c>
      <c r="K316" s="13">
        <v>173927.28310976073</v>
      </c>
      <c r="L316" s="13">
        <v>175927.28310976073</v>
      </c>
      <c r="M316" s="13">
        <v>177927.28310976073</v>
      </c>
      <c r="N316" s="13">
        <v>179927.28310976073</v>
      </c>
      <c r="O316" s="13">
        <v>181927.28310976073</v>
      </c>
      <c r="P316" s="13">
        <v>183927.28310976073</v>
      </c>
      <c r="Q316" s="13">
        <v>185927.28310976073</v>
      </c>
      <c r="R316" s="13">
        <v>187927.28310976073</v>
      </c>
      <c r="S316" s="13">
        <v>189927.28310976073</v>
      </c>
      <c r="T316" s="13">
        <v>191927.28310976073</v>
      </c>
      <c r="U316" s="13">
        <v>193927.28310976073</v>
      </c>
      <c r="V316" s="13">
        <v>195927.28310976073</v>
      </c>
      <c r="W316" s="13">
        <v>197927.28310976073</v>
      </c>
      <c r="X316" s="13">
        <v>199806.08829269523</v>
      </c>
    </row>
    <row r="317" spans="1:24" x14ac:dyDescent="0.35">
      <c r="A317" s="34">
        <v>290</v>
      </c>
      <c r="B317" s="2">
        <v>0.4168394684095369</v>
      </c>
      <c r="C317" s="91">
        <f t="shared" si="11"/>
        <v>27.900144317762109</v>
      </c>
      <c r="D317" s="13">
        <v>123700.43295328622</v>
      </c>
      <c r="E317" s="13">
        <v>125700.43295328622</v>
      </c>
      <c r="F317" s="13">
        <v>127700.43295328622</v>
      </c>
      <c r="G317" s="13">
        <v>129700.43295328622</v>
      </c>
      <c r="H317" s="13">
        <v>131700.43295328622</v>
      </c>
      <c r="I317" s="13">
        <v>133700.43295328622</v>
      </c>
      <c r="J317" s="13">
        <v>135700.43295328622</v>
      </c>
      <c r="K317" s="13">
        <v>137700.43295328633</v>
      </c>
      <c r="L317" s="13">
        <v>139201.15454209689</v>
      </c>
      <c r="M317" s="13">
        <v>136201.15454209689</v>
      </c>
      <c r="N317" s="13">
        <v>133201.15454209689</v>
      </c>
      <c r="O317" s="13">
        <v>130201.15454209689</v>
      </c>
      <c r="P317" s="13">
        <v>127201.15454209689</v>
      </c>
      <c r="Q317" s="13">
        <v>124201.15454209689</v>
      </c>
      <c r="R317" s="13">
        <v>121201.15454209689</v>
      </c>
      <c r="S317" s="13">
        <v>118201.15454209689</v>
      </c>
      <c r="T317" s="13">
        <v>115201.15454209689</v>
      </c>
      <c r="U317" s="13">
        <v>112201.15454209689</v>
      </c>
      <c r="V317" s="13">
        <v>109201.15454209689</v>
      </c>
      <c r="W317" s="13">
        <v>106201.15454209689</v>
      </c>
      <c r="X317" s="13">
        <v>103201.15454209689</v>
      </c>
    </row>
    <row r="318" spans="1:24" x14ac:dyDescent="0.35">
      <c r="A318" s="34">
        <v>291</v>
      </c>
      <c r="B318" s="2">
        <v>0.60560707442103479</v>
      </c>
      <c r="C318" s="91">
        <f t="shared" si="11"/>
        <v>32.678875838641261</v>
      </c>
      <c r="D318" s="13">
        <v>138036.62751592393</v>
      </c>
      <c r="E318" s="13">
        <v>140036.62751592381</v>
      </c>
      <c r="F318" s="13">
        <v>142036.62751592381</v>
      </c>
      <c r="G318" s="13">
        <v>144036.62751592381</v>
      </c>
      <c r="H318" s="13">
        <v>146036.62751592381</v>
      </c>
      <c r="I318" s="13">
        <v>148036.62751592381</v>
      </c>
      <c r="J318" s="13">
        <v>150036.62751592381</v>
      </c>
      <c r="K318" s="13">
        <v>152036.62751592381</v>
      </c>
      <c r="L318" s="13">
        <v>154036.62751592381</v>
      </c>
      <c r="M318" s="13">
        <v>156036.62751592381</v>
      </c>
      <c r="N318" s="13">
        <v>158036.62751592381</v>
      </c>
      <c r="O318" s="13">
        <v>160036.6275159237</v>
      </c>
      <c r="P318" s="13">
        <v>162036.6275159237</v>
      </c>
      <c r="Q318" s="13">
        <v>162431.00670913002</v>
      </c>
      <c r="R318" s="13">
        <v>159431.00670913002</v>
      </c>
      <c r="S318" s="13">
        <v>156431.00670913002</v>
      </c>
      <c r="T318" s="13">
        <v>153431.00670913002</v>
      </c>
      <c r="U318" s="13">
        <v>150431.00670913002</v>
      </c>
      <c r="V318" s="13">
        <v>147431.00670913002</v>
      </c>
      <c r="W318" s="13">
        <v>144431.00670913002</v>
      </c>
      <c r="X318" s="13">
        <v>141431.00670913002</v>
      </c>
    </row>
    <row r="319" spans="1:24" x14ac:dyDescent="0.35">
      <c r="A319" s="34">
        <v>292</v>
      </c>
      <c r="B319" s="2">
        <v>0.6008133793460575</v>
      </c>
      <c r="C319" s="91">
        <f t="shared" si="11"/>
        <v>32.554529984855769</v>
      </c>
      <c r="D319" s="13">
        <v>137663.58995456726</v>
      </c>
      <c r="E319" s="13">
        <v>139663.58995456726</v>
      </c>
      <c r="F319" s="13">
        <v>141663.58995456726</v>
      </c>
      <c r="G319" s="13">
        <v>143663.58995456726</v>
      </c>
      <c r="H319" s="13">
        <v>145663.58995456726</v>
      </c>
      <c r="I319" s="13">
        <v>147663.58995456726</v>
      </c>
      <c r="J319" s="13">
        <v>149663.58995456726</v>
      </c>
      <c r="K319" s="13">
        <v>151663.58995456726</v>
      </c>
      <c r="L319" s="13">
        <v>153663.58995456726</v>
      </c>
      <c r="M319" s="13">
        <v>155663.58995456726</v>
      </c>
      <c r="N319" s="13">
        <v>157663.58995456726</v>
      </c>
      <c r="O319" s="13">
        <v>159663.58995456726</v>
      </c>
      <c r="P319" s="13">
        <v>161663.58995456726</v>
      </c>
      <c r="Q319" s="13">
        <v>161436.2398788461</v>
      </c>
      <c r="R319" s="13">
        <v>158436.2398788461</v>
      </c>
      <c r="S319" s="13">
        <v>155436.2398788461</v>
      </c>
      <c r="T319" s="13">
        <v>152436.2398788461</v>
      </c>
      <c r="U319" s="13">
        <v>149436.2398788461</v>
      </c>
      <c r="V319" s="13">
        <v>146436.2398788461</v>
      </c>
      <c r="W319" s="13">
        <v>143436.2398788461</v>
      </c>
      <c r="X319" s="13">
        <v>140436.2398788461</v>
      </c>
    </row>
    <row r="320" spans="1:24" x14ac:dyDescent="0.35">
      <c r="A320" s="34">
        <v>293</v>
      </c>
      <c r="B320" s="2">
        <v>0.70857159462755381</v>
      </c>
      <c r="C320" s="91">
        <f t="shared" si="11"/>
        <v>35.492166043486684</v>
      </c>
      <c r="D320" s="13">
        <v>146476.49813046004</v>
      </c>
      <c r="E320" s="13">
        <v>148476.49813046004</v>
      </c>
      <c r="F320" s="13">
        <v>150476.49813046004</v>
      </c>
      <c r="G320" s="13">
        <v>152476.49813046004</v>
      </c>
      <c r="H320" s="13">
        <v>154476.49813046004</v>
      </c>
      <c r="I320" s="13">
        <v>156476.49813046004</v>
      </c>
      <c r="J320" s="13">
        <v>158476.49813046004</v>
      </c>
      <c r="K320" s="13">
        <v>160476.49813046004</v>
      </c>
      <c r="L320" s="13">
        <v>162476.49813046004</v>
      </c>
      <c r="M320" s="13">
        <v>164476.49813046004</v>
      </c>
      <c r="N320" s="13">
        <v>166476.49813046004</v>
      </c>
      <c r="O320" s="13">
        <v>168476.49813046004</v>
      </c>
      <c r="P320" s="13">
        <v>170476.49813046004</v>
      </c>
      <c r="Q320" s="13">
        <v>172476.49813046004</v>
      </c>
      <c r="R320" s="13">
        <v>174476.49813046004</v>
      </c>
      <c r="S320" s="13">
        <v>176476.49813046004</v>
      </c>
      <c r="T320" s="13">
        <v>175937.32834789343</v>
      </c>
      <c r="U320" s="13">
        <v>172937.32834789343</v>
      </c>
      <c r="V320" s="13">
        <v>169937.32834789343</v>
      </c>
      <c r="W320" s="13">
        <v>166937.32834789343</v>
      </c>
      <c r="X320" s="13">
        <v>163937.32834789343</v>
      </c>
    </row>
    <row r="321" spans="1:24" x14ac:dyDescent="0.35">
      <c r="A321" s="34">
        <v>294</v>
      </c>
      <c r="B321" s="2">
        <v>0.90550021310044293</v>
      </c>
      <c r="C321" s="91">
        <f t="shared" si="11"/>
        <v>43.135443884723706</v>
      </c>
      <c r="D321" s="13">
        <v>169406.33165417123</v>
      </c>
      <c r="E321" s="13">
        <v>171406.33165417123</v>
      </c>
      <c r="F321" s="13">
        <v>173406.33165417123</v>
      </c>
      <c r="G321" s="13">
        <v>175406.33165417123</v>
      </c>
      <c r="H321" s="13">
        <v>177406.33165417123</v>
      </c>
      <c r="I321" s="13">
        <v>179406.33165417123</v>
      </c>
      <c r="J321" s="13">
        <v>181406.33165417123</v>
      </c>
      <c r="K321" s="13">
        <v>183406.33165417123</v>
      </c>
      <c r="L321" s="13">
        <v>185406.33165417123</v>
      </c>
      <c r="M321" s="13">
        <v>187406.33165417123</v>
      </c>
      <c r="N321" s="13">
        <v>189406.33165417123</v>
      </c>
      <c r="O321" s="13">
        <v>191406.33165417123</v>
      </c>
      <c r="P321" s="13">
        <v>193406.33165417123</v>
      </c>
      <c r="Q321" s="13">
        <v>195406.33165417123</v>
      </c>
      <c r="R321" s="13">
        <v>197406.33165417123</v>
      </c>
      <c r="S321" s="13">
        <v>199406.33165417123</v>
      </c>
      <c r="T321" s="13">
        <v>201406.33165417123</v>
      </c>
      <c r="U321" s="13">
        <v>203406.33165417123</v>
      </c>
      <c r="V321" s="13">
        <v>205406.33165417123</v>
      </c>
      <c r="W321" s="13">
        <v>207406.33165417123</v>
      </c>
      <c r="X321" s="13">
        <v>209406.33165417123</v>
      </c>
    </row>
    <row r="322" spans="1:24" x14ac:dyDescent="0.35">
      <c r="A322" s="34">
        <v>295</v>
      </c>
      <c r="B322" s="2">
        <v>0.38297879795038992</v>
      </c>
      <c r="C322" s="91">
        <f t="shared" si="11"/>
        <v>27.023333451375557</v>
      </c>
      <c r="D322" s="13">
        <v>121070.00035412668</v>
      </c>
      <c r="E322" s="13">
        <v>123070.00035412668</v>
      </c>
      <c r="F322" s="13">
        <v>125070.00035412668</v>
      </c>
      <c r="G322" s="13">
        <v>127070.00035412668</v>
      </c>
      <c r="H322" s="13">
        <v>129070.00035412668</v>
      </c>
      <c r="I322" s="13">
        <v>131070.00035412668</v>
      </c>
      <c r="J322" s="13">
        <v>133070.00035412668</v>
      </c>
      <c r="K322" s="13">
        <v>135070.00035412668</v>
      </c>
      <c r="L322" s="13">
        <v>132186.66761100444</v>
      </c>
      <c r="M322" s="13">
        <v>129186.66761100444</v>
      </c>
      <c r="N322" s="13">
        <v>126186.66761100444</v>
      </c>
      <c r="O322" s="13">
        <v>123186.66761100444</v>
      </c>
      <c r="P322" s="13">
        <v>120186.66761100444</v>
      </c>
      <c r="Q322" s="13">
        <v>117186.66761100444</v>
      </c>
      <c r="R322" s="13">
        <v>114186.66761100444</v>
      </c>
      <c r="S322" s="13">
        <v>111186.66761100444</v>
      </c>
      <c r="T322" s="13">
        <v>108186.66761100444</v>
      </c>
      <c r="U322" s="13">
        <v>105186.66761100444</v>
      </c>
      <c r="V322" s="13">
        <v>102186.66761100444</v>
      </c>
      <c r="W322" s="13">
        <v>99186.667611004435</v>
      </c>
      <c r="X322" s="13">
        <v>96186.667611004435</v>
      </c>
    </row>
    <row r="323" spans="1:24" x14ac:dyDescent="0.35">
      <c r="A323" s="34">
        <v>296</v>
      </c>
      <c r="B323" s="2">
        <v>0.17020690442059283</v>
      </c>
      <c r="C323" s="91">
        <f t="shared" si="11"/>
        <v>20.466520591826267</v>
      </c>
      <c r="D323" s="13">
        <v>101399.56177547877</v>
      </c>
      <c r="E323" s="13">
        <v>100732.16473461012</v>
      </c>
      <c r="F323" s="13">
        <v>97732.164734610124</v>
      </c>
      <c r="G323" s="13">
        <v>94732.164734610124</v>
      </c>
      <c r="H323" s="13">
        <v>91732.164734610124</v>
      </c>
      <c r="I323" s="13">
        <v>88732.164734610124</v>
      </c>
      <c r="J323" s="13">
        <v>85732.164734610124</v>
      </c>
      <c r="K323" s="13">
        <v>82732.164734610124</v>
      </c>
      <c r="L323" s="13">
        <v>79732.164734610124</v>
      </c>
      <c r="M323" s="13">
        <v>76732.164734610124</v>
      </c>
      <c r="N323" s="13">
        <v>73732.164734610124</v>
      </c>
      <c r="O323" s="13">
        <v>70732.164734610124</v>
      </c>
      <c r="P323" s="13">
        <v>67732.164734610124</v>
      </c>
      <c r="Q323" s="13">
        <v>64732.164734610124</v>
      </c>
      <c r="R323" s="13">
        <v>61732.164734610124</v>
      </c>
      <c r="S323" s="13">
        <v>58732.164734610124</v>
      </c>
      <c r="T323" s="13">
        <v>55732.164734610124</v>
      </c>
      <c r="U323" s="13">
        <v>52732.164734610124</v>
      </c>
      <c r="V323" s="13">
        <v>49732.164734610124</v>
      </c>
      <c r="W323" s="13">
        <v>46732.164734610124</v>
      </c>
      <c r="X323" s="13">
        <v>43732.164734610124</v>
      </c>
    </row>
    <row r="324" spans="1:24" x14ac:dyDescent="0.35">
      <c r="A324" s="34">
        <v>297</v>
      </c>
      <c r="B324" s="2">
        <v>0.82368534989433184</v>
      </c>
      <c r="C324" s="91">
        <f t="shared" si="11"/>
        <v>39.295013996371992</v>
      </c>
      <c r="D324" s="13">
        <v>157885.041989116</v>
      </c>
      <c r="E324" s="13">
        <v>159885.041989116</v>
      </c>
      <c r="F324" s="13">
        <v>161885.041989116</v>
      </c>
      <c r="G324" s="13">
        <v>163885.041989116</v>
      </c>
      <c r="H324" s="13">
        <v>165885.041989116</v>
      </c>
      <c r="I324" s="13">
        <v>167885.041989116</v>
      </c>
      <c r="J324" s="13">
        <v>169885.041989116</v>
      </c>
      <c r="K324" s="13">
        <v>171885.041989116</v>
      </c>
      <c r="L324" s="13">
        <v>173885.041989116</v>
      </c>
      <c r="M324" s="13">
        <v>175885.041989116</v>
      </c>
      <c r="N324" s="13">
        <v>177885.041989116</v>
      </c>
      <c r="O324" s="13">
        <v>179885.041989116</v>
      </c>
      <c r="P324" s="13">
        <v>181885.041989116</v>
      </c>
      <c r="Q324" s="13">
        <v>183885.041989116</v>
      </c>
      <c r="R324" s="13">
        <v>185885.04198911588</v>
      </c>
      <c r="S324" s="13">
        <v>187885.04198911588</v>
      </c>
      <c r="T324" s="13">
        <v>189885.04198911588</v>
      </c>
      <c r="U324" s="13">
        <v>191885.04198911588</v>
      </c>
      <c r="V324" s="13">
        <v>193885.04198911588</v>
      </c>
      <c r="W324" s="13">
        <v>195885.04198911588</v>
      </c>
      <c r="X324" s="13">
        <v>194360.11197097588</v>
      </c>
    </row>
    <row r="325" spans="1:24" x14ac:dyDescent="0.35">
      <c r="A325" s="34">
        <v>298</v>
      </c>
      <c r="B325" s="2">
        <v>0.99570403342027813</v>
      </c>
      <c r="C325" s="91">
        <f t="shared" si="11"/>
        <v>56.278779698648584</v>
      </c>
      <c r="D325" s="13">
        <v>208836.3390959457</v>
      </c>
      <c r="E325" s="13">
        <v>210836.3390959457</v>
      </c>
      <c r="F325" s="13">
        <v>212836.3390959457</v>
      </c>
      <c r="G325" s="13">
        <v>214836.3390959457</v>
      </c>
      <c r="H325" s="13">
        <v>216836.3390959457</v>
      </c>
      <c r="I325" s="13">
        <v>218836.3390959457</v>
      </c>
      <c r="J325" s="13">
        <v>220836.3390959457</v>
      </c>
      <c r="K325" s="13">
        <v>222836.3390959457</v>
      </c>
      <c r="L325" s="13">
        <v>224836.3390959457</v>
      </c>
      <c r="M325" s="13">
        <v>226836.3390959457</v>
      </c>
      <c r="N325" s="13">
        <v>228836.3390959457</v>
      </c>
      <c r="O325" s="13">
        <v>230836.3390959457</v>
      </c>
      <c r="P325" s="13">
        <v>232836.3390959457</v>
      </c>
      <c r="Q325" s="13">
        <v>234836.3390959457</v>
      </c>
      <c r="R325" s="13">
        <v>236836.3390959457</v>
      </c>
      <c r="S325" s="13">
        <v>238836.3390959457</v>
      </c>
      <c r="T325" s="13">
        <v>240836.3390959457</v>
      </c>
      <c r="U325" s="13">
        <v>242836.3390959457</v>
      </c>
      <c r="V325" s="13">
        <v>244836.3390959457</v>
      </c>
      <c r="W325" s="13">
        <v>246836.3390959457</v>
      </c>
      <c r="X325" s="13">
        <v>248836.3390959457</v>
      </c>
    </row>
    <row r="326" spans="1:24" x14ac:dyDescent="0.35">
      <c r="A326" s="34">
        <v>299</v>
      </c>
      <c r="B326" s="2">
        <v>4.9315332695207825E-3</v>
      </c>
      <c r="C326" s="91">
        <f t="shared" si="11"/>
        <v>4.1940657677697928</v>
      </c>
      <c r="D326" s="13">
        <v>-26447.473857841687</v>
      </c>
      <c r="E326" s="13">
        <v>-29447.473857841687</v>
      </c>
      <c r="F326" s="13">
        <v>-32447.473857841687</v>
      </c>
      <c r="G326" s="13">
        <v>-35447.473857841687</v>
      </c>
      <c r="H326" s="13">
        <v>-38447.473857841687</v>
      </c>
      <c r="I326" s="13">
        <v>-41447.473857841687</v>
      </c>
      <c r="J326" s="13">
        <v>-44447.473857841687</v>
      </c>
      <c r="K326" s="13">
        <v>-47447.473857841687</v>
      </c>
      <c r="L326" s="13">
        <v>-50447.473857841687</v>
      </c>
      <c r="M326" s="13">
        <v>-53447.473857841687</v>
      </c>
      <c r="N326" s="13">
        <v>-56447.473857841687</v>
      </c>
      <c r="O326" s="13">
        <v>-59447.473857841687</v>
      </c>
      <c r="P326" s="13">
        <v>-62447.473857841687</v>
      </c>
      <c r="Q326" s="13">
        <v>-65447.473857841687</v>
      </c>
      <c r="R326" s="13">
        <v>-68447.473857841687</v>
      </c>
      <c r="S326" s="13">
        <v>-71447.473857841687</v>
      </c>
      <c r="T326" s="13">
        <v>-74447.473857841687</v>
      </c>
      <c r="U326" s="13">
        <v>-77447.473857841687</v>
      </c>
      <c r="V326" s="13">
        <v>-80447.473857841687</v>
      </c>
      <c r="W326" s="13">
        <v>-83447.473857841687</v>
      </c>
      <c r="X326" s="13">
        <v>-86447.473857841687</v>
      </c>
    </row>
    <row r="327" spans="1:24" x14ac:dyDescent="0.35">
      <c r="A327" s="34">
        <v>300</v>
      </c>
      <c r="B327" s="2">
        <v>0.57466473591638623</v>
      </c>
      <c r="C327" s="91">
        <f t="shared" si="11"/>
        <v>31.882629492959762</v>
      </c>
      <c r="D327" s="13">
        <v>135647.88847887935</v>
      </c>
      <c r="E327" s="13">
        <v>137647.88847887935</v>
      </c>
      <c r="F327" s="13">
        <v>139647.88847887935</v>
      </c>
      <c r="G327" s="13">
        <v>141647.88847887935</v>
      </c>
      <c r="H327" s="13">
        <v>143647.88847887935</v>
      </c>
      <c r="I327" s="13">
        <v>145647.88847887935</v>
      </c>
      <c r="J327" s="13">
        <v>147647.88847887935</v>
      </c>
      <c r="K327" s="13">
        <v>149647.88847887935</v>
      </c>
      <c r="L327" s="13">
        <v>151647.88847887935</v>
      </c>
      <c r="M327" s="13">
        <v>153647.88847887935</v>
      </c>
      <c r="N327" s="13">
        <v>155647.88847887935</v>
      </c>
      <c r="O327" s="13">
        <v>157647.88847887935</v>
      </c>
      <c r="P327" s="13">
        <v>159061.03594367811</v>
      </c>
      <c r="Q327" s="13">
        <v>156061.03594367811</v>
      </c>
      <c r="R327" s="13">
        <v>153061.03594367811</v>
      </c>
      <c r="S327" s="13">
        <v>150061.03594367811</v>
      </c>
      <c r="T327" s="13">
        <v>147061.03594367811</v>
      </c>
      <c r="U327" s="13">
        <v>144061.03594367811</v>
      </c>
      <c r="V327" s="13">
        <v>141061.03594367811</v>
      </c>
      <c r="W327" s="13">
        <v>138061.03594367811</v>
      </c>
      <c r="X327" s="13">
        <v>135061.03594367811</v>
      </c>
    </row>
    <row r="328" spans="1:24" x14ac:dyDescent="0.35">
      <c r="A328" s="34">
        <v>301</v>
      </c>
      <c r="B328" s="2">
        <v>0.52826363566876122</v>
      </c>
      <c r="C328" s="91">
        <f t="shared" si="11"/>
        <v>30.709057982433851</v>
      </c>
      <c r="D328" s="13">
        <v>132127.17394730146</v>
      </c>
      <c r="E328" s="13">
        <v>134127.17394730158</v>
      </c>
      <c r="F328" s="13">
        <v>136127.17394730158</v>
      </c>
      <c r="G328" s="13">
        <v>138127.17394730158</v>
      </c>
      <c r="H328" s="13">
        <v>140127.17394730158</v>
      </c>
      <c r="I328" s="13">
        <v>142127.17394730158</v>
      </c>
      <c r="J328" s="13">
        <v>144127.17394730158</v>
      </c>
      <c r="K328" s="13">
        <v>146127.17394730158</v>
      </c>
      <c r="L328" s="13">
        <v>148127.17394730158</v>
      </c>
      <c r="M328" s="13">
        <v>150127.17394730158</v>
      </c>
      <c r="N328" s="13">
        <v>152127.17394730158</v>
      </c>
      <c r="O328" s="13">
        <v>152672.46385947079</v>
      </c>
      <c r="P328" s="13">
        <v>149672.46385947079</v>
      </c>
      <c r="Q328" s="13">
        <v>146672.46385947079</v>
      </c>
      <c r="R328" s="13">
        <v>143672.46385947079</v>
      </c>
      <c r="S328" s="13">
        <v>140672.46385947079</v>
      </c>
      <c r="T328" s="13">
        <v>137672.46385947079</v>
      </c>
      <c r="U328" s="13">
        <v>134672.46385947079</v>
      </c>
      <c r="V328" s="13">
        <v>131672.46385947079</v>
      </c>
      <c r="W328" s="13">
        <v>128672.46385947079</v>
      </c>
      <c r="X328" s="13">
        <v>125672.46385947079</v>
      </c>
    </row>
    <row r="329" spans="1:24" x14ac:dyDescent="0.35">
      <c r="A329" s="34">
        <v>302</v>
      </c>
      <c r="B329" s="2">
        <v>0.25320597761866104</v>
      </c>
      <c r="C329" s="91">
        <f t="shared" si="11"/>
        <v>23.355650269312221</v>
      </c>
      <c r="D329" s="13">
        <v>110066.95080793666</v>
      </c>
      <c r="E329" s="13">
        <v>112066.95080793666</v>
      </c>
      <c r="F329" s="13">
        <v>114066.95080793666</v>
      </c>
      <c r="G329" s="13">
        <v>116066.95080793666</v>
      </c>
      <c r="H329" s="13">
        <v>114845.20215449773</v>
      </c>
      <c r="I329" s="13">
        <v>111845.20215449773</v>
      </c>
      <c r="J329" s="13">
        <v>108845.20215449773</v>
      </c>
      <c r="K329" s="13">
        <v>105845.20215449773</v>
      </c>
      <c r="L329" s="13">
        <v>102845.20215449773</v>
      </c>
      <c r="M329" s="13">
        <v>99845.202154497732</v>
      </c>
      <c r="N329" s="13">
        <v>96845.202154497732</v>
      </c>
      <c r="O329" s="13">
        <v>93845.202154497732</v>
      </c>
      <c r="P329" s="13">
        <v>90845.202154497732</v>
      </c>
      <c r="Q329" s="13">
        <v>87845.202154497732</v>
      </c>
      <c r="R329" s="13">
        <v>84845.202154497732</v>
      </c>
      <c r="S329" s="13">
        <v>81845.202154497732</v>
      </c>
      <c r="T329" s="13">
        <v>78845.202154497732</v>
      </c>
      <c r="U329" s="13">
        <v>75845.202154497732</v>
      </c>
      <c r="V329" s="13">
        <v>72845.202154497732</v>
      </c>
      <c r="W329" s="13">
        <v>69845.202154497732</v>
      </c>
      <c r="X329" s="13">
        <v>66845.202154497732</v>
      </c>
    </row>
    <row r="330" spans="1:24" x14ac:dyDescent="0.35">
      <c r="A330" s="34">
        <v>303</v>
      </c>
      <c r="B330" s="2">
        <v>0.89154357984339072</v>
      </c>
      <c r="C330" s="91">
        <f t="shared" si="11"/>
        <v>42.347787976684828</v>
      </c>
      <c r="D330" s="13">
        <v>167043.36393005459</v>
      </c>
      <c r="E330" s="13">
        <v>169043.36393005459</v>
      </c>
      <c r="F330" s="13">
        <v>171043.36393005459</v>
      </c>
      <c r="G330" s="13">
        <v>173043.36393005459</v>
      </c>
      <c r="H330" s="13">
        <v>175043.36393005459</v>
      </c>
      <c r="I330" s="13">
        <v>177043.36393005459</v>
      </c>
      <c r="J330" s="13">
        <v>179043.36393005459</v>
      </c>
      <c r="K330" s="13">
        <v>181043.36393005459</v>
      </c>
      <c r="L330" s="13">
        <v>183043.36393005459</v>
      </c>
      <c r="M330" s="13">
        <v>185043.36393005459</v>
      </c>
      <c r="N330" s="13">
        <v>187043.36393005459</v>
      </c>
      <c r="O330" s="13">
        <v>189043.36393005459</v>
      </c>
      <c r="P330" s="13">
        <v>191043.36393005459</v>
      </c>
      <c r="Q330" s="13">
        <v>193043.36393005459</v>
      </c>
      <c r="R330" s="13">
        <v>195043.36393005459</v>
      </c>
      <c r="S330" s="13">
        <v>197043.36393005459</v>
      </c>
      <c r="T330" s="13">
        <v>199043.36393005459</v>
      </c>
      <c r="U330" s="13">
        <v>201043.36393005459</v>
      </c>
      <c r="V330" s="13">
        <v>203043.36393005459</v>
      </c>
      <c r="W330" s="13">
        <v>205043.36393005459</v>
      </c>
      <c r="X330" s="13">
        <v>207043.36393005459</v>
      </c>
    </row>
    <row r="331" spans="1:24" x14ac:dyDescent="0.35">
      <c r="A331" s="34">
        <v>304</v>
      </c>
      <c r="B331" s="2">
        <v>6.128820163131643E-2</v>
      </c>
      <c r="C331" s="91">
        <f t="shared" si="11"/>
        <v>14.559507553942964</v>
      </c>
      <c r="D331" s="13">
        <v>56476.060431543738</v>
      </c>
      <c r="E331" s="13">
        <v>53476.060431543738</v>
      </c>
      <c r="F331" s="13">
        <v>50476.060431543738</v>
      </c>
      <c r="G331" s="13">
        <v>47476.060431543738</v>
      </c>
      <c r="H331" s="13">
        <v>44476.060431543738</v>
      </c>
      <c r="I331" s="13">
        <v>41476.060431543738</v>
      </c>
      <c r="J331" s="13">
        <v>38476.060431543738</v>
      </c>
      <c r="K331" s="13">
        <v>35476.060431543738</v>
      </c>
      <c r="L331" s="13">
        <v>32476.060431543738</v>
      </c>
      <c r="M331" s="13">
        <v>29476.060431543738</v>
      </c>
      <c r="N331" s="13">
        <v>26476.060431543738</v>
      </c>
      <c r="O331" s="13">
        <v>23476.060431543738</v>
      </c>
      <c r="P331" s="13">
        <v>20476.060431543738</v>
      </c>
      <c r="Q331" s="13">
        <v>17476.060431543738</v>
      </c>
      <c r="R331" s="13">
        <v>14476.060431543738</v>
      </c>
      <c r="S331" s="13">
        <v>11476.060431543738</v>
      </c>
      <c r="T331" s="13">
        <v>8476.0604315437376</v>
      </c>
      <c r="U331" s="13">
        <v>5476.0604315437376</v>
      </c>
      <c r="V331" s="13">
        <v>2476.0604315437376</v>
      </c>
      <c r="W331" s="13">
        <v>-523.93956845626235</v>
      </c>
      <c r="X331" s="13">
        <v>-3523.9395684562624</v>
      </c>
    </row>
    <row r="332" spans="1:24" x14ac:dyDescent="0.35">
      <c r="A332" s="34">
        <v>305</v>
      </c>
      <c r="B332" s="2">
        <v>0.99992193917963068</v>
      </c>
      <c r="C332" s="91">
        <f t="shared" si="11"/>
        <v>67.811243859902987</v>
      </c>
      <c r="D332" s="13">
        <v>243433.73157970887</v>
      </c>
      <c r="E332" s="13">
        <v>245433.73157970887</v>
      </c>
      <c r="F332" s="13">
        <v>247433.73157970887</v>
      </c>
      <c r="G332" s="13">
        <v>249433.73157970887</v>
      </c>
      <c r="H332" s="13">
        <v>251433.73157970887</v>
      </c>
      <c r="I332" s="13">
        <v>253433.73157970887</v>
      </c>
      <c r="J332" s="13">
        <v>255433.7315797091</v>
      </c>
      <c r="K332" s="13">
        <v>257433.7315797091</v>
      </c>
      <c r="L332" s="13">
        <v>259433.7315797091</v>
      </c>
      <c r="M332" s="13">
        <v>261433.7315797091</v>
      </c>
      <c r="N332" s="13">
        <v>263433.7315797091</v>
      </c>
      <c r="O332" s="13">
        <v>265433.7315797091</v>
      </c>
      <c r="P332" s="13">
        <v>267433.7315797091</v>
      </c>
      <c r="Q332" s="13">
        <v>269433.7315797091</v>
      </c>
      <c r="R332" s="13">
        <v>271433.7315797091</v>
      </c>
      <c r="S332" s="13">
        <v>273433.7315797091</v>
      </c>
      <c r="T332" s="13">
        <v>275433.7315797091</v>
      </c>
      <c r="U332" s="13">
        <v>277433.7315797091</v>
      </c>
      <c r="V332" s="13">
        <v>279433.7315797091</v>
      </c>
      <c r="W332" s="13">
        <v>281433.7315797091</v>
      </c>
      <c r="X332" s="13">
        <v>283433.7315797091</v>
      </c>
    </row>
    <row r="333" spans="1:24" x14ac:dyDescent="0.35">
      <c r="A333" s="34">
        <v>306</v>
      </c>
      <c r="B333" s="2">
        <v>0.45556201962833487</v>
      </c>
      <c r="C333" s="91">
        <f t="shared" si="11"/>
        <v>28.883791497890432</v>
      </c>
      <c r="D333" s="13">
        <v>126651.37449367135</v>
      </c>
      <c r="E333" s="13">
        <v>128651.37449367135</v>
      </c>
      <c r="F333" s="13">
        <v>130651.37449367135</v>
      </c>
      <c r="G333" s="13">
        <v>132651.37449367135</v>
      </c>
      <c r="H333" s="13">
        <v>134651.37449367135</v>
      </c>
      <c r="I333" s="13">
        <v>136651.37449367135</v>
      </c>
      <c r="J333" s="13">
        <v>138651.37449367135</v>
      </c>
      <c r="K333" s="13">
        <v>140651.37449367135</v>
      </c>
      <c r="L333" s="13">
        <v>142651.37449367135</v>
      </c>
      <c r="M333" s="13">
        <v>144070.33198312344</v>
      </c>
      <c r="N333" s="13">
        <v>141070.33198312344</v>
      </c>
      <c r="O333" s="13">
        <v>138070.33198312344</v>
      </c>
      <c r="P333" s="13">
        <v>135070.33198312344</v>
      </c>
      <c r="Q333" s="13">
        <v>132070.33198312344</v>
      </c>
      <c r="R333" s="13">
        <v>129070.33198312344</v>
      </c>
      <c r="S333" s="13">
        <v>126070.33198312344</v>
      </c>
      <c r="T333" s="13">
        <v>123070.33198312344</v>
      </c>
      <c r="U333" s="13">
        <v>120070.33198312344</v>
      </c>
      <c r="V333" s="13">
        <v>117070.33198312344</v>
      </c>
      <c r="W333" s="13">
        <v>114070.33198312344</v>
      </c>
      <c r="X333" s="13">
        <v>111070.33198312344</v>
      </c>
    </row>
    <row r="334" spans="1:24" x14ac:dyDescent="0.35">
      <c r="A334" s="34">
        <v>307</v>
      </c>
      <c r="B334" s="2">
        <v>0.55511868868398129</v>
      </c>
      <c r="C334" s="91">
        <f t="shared" si="11"/>
        <v>31.38604581644773</v>
      </c>
      <c r="D334" s="13">
        <v>134158.13744934322</v>
      </c>
      <c r="E334" s="13">
        <v>136158.13744934322</v>
      </c>
      <c r="F334" s="13">
        <v>138158.13744934322</v>
      </c>
      <c r="G334" s="13">
        <v>140158.13744934322</v>
      </c>
      <c r="H334" s="13">
        <v>142158.13744934322</v>
      </c>
      <c r="I334" s="13">
        <v>144158.13744934322</v>
      </c>
      <c r="J334" s="13">
        <v>146158.13744934322</v>
      </c>
      <c r="K334" s="13">
        <v>148158.13744934322</v>
      </c>
      <c r="L334" s="13">
        <v>150158.13744934322</v>
      </c>
      <c r="M334" s="13">
        <v>152158.13744934322</v>
      </c>
      <c r="N334" s="13">
        <v>154158.13744934322</v>
      </c>
      <c r="O334" s="13">
        <v>156158.13744934322</v>
      </c>
      <c r="P334" s="13">
        <v>155088.36653158185</v>
      </c>
      <c r="Q334" s="13">
        <v>152088.36653158185</v>
      </c>
      <c r="R334" s="13">
        <v>149088.36653158185</v>
      </c>
      <c r="S334" s="13">
        <v>146088.36653158185</v>
      </c>
      <c r="T334" s="13">
        <v>143088.36653158185</v>
      </c>
      <c r="U334" s="13">
        <v>140088.36653158185</v>
      </c>
      <c r="V334" s="13">
        <v>137088.36653158185</v>
      </c>
      <c r="W334" s="13">
        <v>134088.36653158185</v>
      </c>
      <c r="X334" s="13">
        <v>131088.36653158185</v>
      </c>
    </row>
    <row r="335" spans="1:24" x14ac:dyDescent="0.35">
      <c r="A335" s="34">
        <v>308</v>
      </c>
      <c r="B335" s="2">
        <v>0.88771636128294817</v>
      </c>
      <c r="C335" s="91">
        <f t="shared" si="11"/>
        <v>42.144726767985816</v>
      </c>
      <c r="D335" s="13">
        <v>166434.18030395755</v>
      </c>
      <c r="E335" s="13">
        <v>168434.18030395755</v>
      </c>
      <c r="F335" s="13">
        <v>170434.18030395755</v>
      </c>
      <c r="G335" s="13">
        <v>172434.18030395755</v>
      </c>
      <c r="H335" s="13">
        <v>174434.18030395755</v>
      </c>
      <c r="I335" s="13">
        <v>176434.18030395755</v>
      </c>
      <c r="J335" s="13">
        <v>178434.18030395755</v>
      </c>
      <c r="K335" s="13">
        <v>180434.18030395755</v>
      </c>
      <c r="L335" s="13">
        <v>182434.18030395755</v>
      </c>
      <c r="M335" s="13">
        <v>184434.18030395755</v>
      </c>
      <c r="N335" s="13">
        <v>186434.18030395755</v>
      </c>
      <c r="O335" s="13">
        <v>188434.18030395755</v>
      </c>
      <c r="P335" s="13">
        <v>190434.18030395755</v>
      </c>
      <c r="Q335" s="13">
        <v>192434.18030395755</v>
      </c>
      <c r="R335" s="13">
        <v>194434.18030395755</v>
      </c>
      <c r="S335" s="13">
        <v>196434.18030395755</v>
      </c>
      <c r="T335" s="13">
        <v>198434.18030395755</v>
      </c>
      <c r="U335" s="13">
        <v>200434.18030395731</v>
      </c>
      <c r="V335" s="13">
        <v>202434.18030395731</v>
      </c>
      <c r="W335" s="13">
        <v>204434.18030395731</v>
      </c>
      <c r="X335" s="13">
        <v>206434.18030395731</v>
      </c>
    </row>
    <row r="336" spans="1:24" x14ac:dyDescent="0.35">
      <c r="A336" s="34">
        <v>309</v>
      </c>
      <c r="B336" s="2">
        <v>0.20178986509224484</v>
      </c>
      <c r="C336" s="91">
        <f t="shared" si="11"/>
        <v>21.647549157891426</v>
      </c>
      <c r="D336" s="13">
        <v>104942.64747367433</v>
      </c>
      <c r="E336" s="13">
        <v>106942.64747367433</v>
      </c>
      <c r="F336" s="13">
        <v>107180.3932631315</v>
      </c>
      <c r="G336" s="13">
        <v>104180.39326313138</v>
      </c>
      <c r="H336" s="13">
        <v>101180.39326313138</v>
      </c>
      <c r="I336" s="13">
        <v>98180.39326313138</v>
      </c>
      <c r="J336" s="13">
        <v>95180.39326313138</v>
      </c>
      <c r="K336" s="13">
        <v>92180.39326313138</v>
      </c>
      <c r="L336" s="13">
        <v>89180.39326313138</v>
      </c>
      <c r="M336" s="13">
        <v>86180.39326313138</v>
      </c>
      <c r="N336" s="13">
        <v>83180.39326313138</v>
      </c>
      <c r="O336" s="13">
        <v>80180.39326313138</v>
      </c>
      <c r="P336" s="13">
        <v>77180.39326313138</v>
      </c>
      <c r="Q336" s="13">
        <v>74180.39326313138</v>
      </c>
      <c r="R336" s="13">
        <v>71180.39326313138</v>
      </c>
      <c r="S336" s="13">
        <v>68180.39326313138</v>
      </c>
      <c r="T336" s="13">
        <v>65180.39326313138</v>
      </c>
      <c r="U336" s="13">
        <v>62180.39326313138</v>
      </c>
      <c r="V336" s="13">
        <v>59180.39326313138</v>
      </c>
      <c r="W336" s="13">
        <v>56180.39326313138</v>
      </c>
      <c r="X336" s="13">
        <v>53180.39326313138</v>
      </c>
    </row>
    <row r="337" spans="1:24" x14ac:dyDescent="0.35">
      <c r="A337" s="34">
        <v>310</v>
      </c>
      <c r="B337" s="2">
        <v>0.854255176918295</v>
      </c>
      <c r="C337" s="91">
        <f t="shared" si="11"/>
        <v>40.548593714042724</v>
      </c>
      <c r="D337" s="13">
        <v>161645.78114212817</v>
      </c>
      <c r="E337" s="13">
        <v>163645.78114212817</v>
      </c>
      <c r="F337" s="13">
        <v>165645.78114212817</v>
      </c>
      <c r="G337" s="13">
        <v>167645.78114212817</v>
      </c>
      <c r="H337" s="13">
        <v>169645.78114212817</v>
      </c>
      <c r="I337" s="13">
        <v>171645.78114212817</v>
      </c>
      <c r="J337" s="13">
        <v>173645.78114212817</v>
      </c>
      <c r="K337" s="13">
        <v>175645.78114212817</v>
      </c>
      <c r="L337" s="13">
        <v>177645.78114212817</v>
      </c>
      <c r="M337" s="13">
        <v>179645.78114212817</v>
      </c>
      <c r="N337" s="13">
        <v>181645.78114212817</v>
      </c>
      <c r="O337" s="13">
        <v>183645.78114212817</v>
      </c>
      <c r="P337" s="13">
        <v>185645.78114212817</v>
      </c>
      <c r="Q337" s="13">
        <v>187645.78114212817</v>
      </c>
      <c r="R337" s="13">
        <v>189645.78114212817</v>
      </c>
      <c r="S337" s="13">
        <v>191645.78114212817</v>
      </c>
      <c r="T337" s="13">
        <v>193645.78114212817</v>
      </c>
      <c r="U337" s="13">
        <v>195645.78114212817</v>
      </c>
      <c r="V337" s="13">
        <v>197645.78114212817</v>
      </c>
      <c r="W337" s="13">
        <v>199645.78114212817</v>
      </c>
      <c r="X337" s="13">
        <v>201645.78114212817</v>
      </c>
    </row>
    <row r="338" spans="1:24" x14ac:dyDescent="0.35">
      <c r="A338" s="34">
        <v>311</v>
      </c>
      <c r="B338" s="2">
        <v>0.55820204596868717</v>
      </c>
      <c r="C338" s="91">
        <f t="shared" si="11"/>
        <v>31.464123125241915</v>
      </c>
      <c r="D338" s="13">
        <v>134392.36937572574</v>
      </c>
      <c r="E338" s="13">
        <v>136392.36937572574</v>
      </c>
      <c r="F338" s="13">
        <v>138392.36937572574</v>
      </c>
      <c r="G338" s="13">
        <v>140392.36937572574</v>
      </c>
      <c r="H338" s="13">
        <v>142392.36937572574</v>
      </c>
      <c r="I338" s="13">
        <v>144392.36937572574</v>
      </c>
      <c r="J338" s="13">
        <v>146392.36937572574</v>
      </c>
      <c r="K338" s="13">
        <v>148392.36937572574</v>
      </c>
      <c r="L338" s="13">
        <v>150392.36937572574</v>
      </c>
      <c r="M338" s="13">
        <v>152392.36937572574</v>
      </c>
      <c r="N338" s="13">
        <v>154392.36937572574</v>
      </c>
      <c r="O338" s="13">
        <v>156392.36937572574</v>
      </c>
      <c r="P338" s="13">
        <v>155712.98500193527</v>
      </c>
      <c r="Q338" s="13">
        <v>152712.98500193539</v>
      </c>
      <c r="R338" s="13">
        <v>149712.98500193539</v>
      </c>
      <c r="S338" s="13">
        <v>146712.98500193539</v>
      </c>
      <c r="T338" s="13">
        <v>143712.98500193539</v>
      </c>
      <c r="U338" s="13">
        <v>140712.98500193539</v>
      </c>
      <c r="V338" s="13">
        <v>137712.98500193539</v>
      </c>
      <c r="W338" s="13">
        <v>134712.98500193539</v>
      </c>
      <c r="X338" s="13">
        <v>131712.98500193539</v>
      </c>
    </row>
    <row r="339" spans="1:24" x14ac:dyDescent="0.35">
      <c r="A339" s="34">
        <v>312</v>
      </c>
      <c r="B339" s="2">
        <v>0.90549763505066239</v>
      </c>
      <c r="C339" s="91">
        <f t="shared" si="11"/>
        <v>43.135290761004967</v>
      </c>
      <c r="D339" s="13">
        <v>169405.87228301493</v>
      </c>
      <c r="E339" s="13">
        <v>171405.87228301493</v>
      </c>
      <c r="F339" s="13">
        <v>173405.87228301493</v>
      </c>
      <c r="G339" s="13">
        <v>175405.87228301493</v>
      </c>
      <c r="H339" s="13">
        <v>177405.87228301493</v>
      </c>
      <c r="I339" s="13">
        <v>179405.87228301493</v>
      </c>
      <c r="J339" s="13">
        <v>181405.87228301493</v>
      </c>
      <c r="K339" s="13">
        <v>183405.87228301493</v>
      </c>
      <c r="L339" s="13">
        <v>185405.87228301493</v>
      </c>
      <c r="M339" s="13">
        <v>187405.87228301493</v>
      </c>
      <c r="N339" s="13">
        <v>189405.87228301493</v>
      </c>
      <c r="O339" s="13">
        <v>191405.87228301493</v>
      </c>
      <c r="P339" s="13">
        <v>193405.87228301493</v>
      </c>
      <c r="Q339" s="13">
        <v>195405.87228301493</v>
      </c>
      <c r="R339" s="13">
        <v>197405.87228301493</v>
      </c>
      <c r="S339" s="13">
        <v>199405.87228301493</v>
      </c>
      <c r="T339" s="13">
        <v>201405.87228301493</v>
      </c>
      <c r="U339" s="13">
        <v>203405.87228301493</v>
      </c>
      <c r="V339" s="13">
        <v>205405.87228301493</v>
      </c>
      <c r="W339" s="13">
        <v>207405.87228301493</v>
      </c>
      <c r="X339" s="13">
        <v>209405.87228301493</v>
      </c>
    </row>
    <row r="340" spans="1:24" x14ac:dyDescent="0.35">
      <c r="A340" s="34">
        <v>313</v>
      </c>
      <c r="B340" s="2">
        <v>0.98533616503085963</v>
      </c>
      <c r="C340" s="91">
        <f t="shared" si="11"/>
        <v>51.790538247926008</v>
      </c>
      <c r="D340" s="13">
        <v>195371.61474377802</v>
      </c>
      <c r="E340" s="13">
        <v>197371.61474377802</v>
      </c>
      <c r="F340" s="13">
        <v>199371.61474377802</v>
      </c>
      <c r="G340" s="13">
        <v>201371.61474377802</v>
      </c>
      <c r="H340" s="13">
        <v>203371.61474377802</v>
      </c>
      <c r="I340" s="13">
        <v>205371.61474377802</v>
      </c>
      <c r="J340" s="13">
        <v>207371.61474377802</v>
      </c>
      <c r="K340" s="13">
        <v>209371.61474377802</v>
      </c>
      <c r="L340" s="13">
        <v>211371.61474377802</v>
      </c>
      <c r="M340" s="13">
        <v>213371.61474377802</v>
      </c>
      <c r="N340" s="13">
        <v>215371.61474377802</v>
      </c>
      <c r="O340" s="13">
        <v>217371.61474377802</v>
      </c>
      <c r="P340" s="13">
        <v>219371.61474377802</v>
      </c>
      <c r="Q340" s="13">
        <v>221371.61474377802</v>
      </c>
      <c r="R340" s="13">
        <v>223371.61474377802</v>
      </c>
      <c r="S340" s="13">
        <v>225371.61474377802</v>
      </c>
      <c r="T340" s="13">
        <v>227371.61474377802</v>
      </c>
      <c r="U340" s="13">
        <v>229371.61474377802</v>
      </c>
      <c r="V340" s="13">
        <v>231371.61474377802</v>
      </c>
      <c r="W340" s="13">
        <v>233371.61474377802</v>
      </c>
      <c r="X340" s="13">
        <v>235371.61474377802</v>
      </c>
    </row>
    <row r="341" spans="1:24" x14ac:dyDescent="0.35">
      <c r="A341" s="34">
        <v>314</v>
      </c>
      <c r="B341" s="2">
        <v>0.30590605025945594</v>
      </c>
      <c r="C341" s="91">
        <f t="shared" si="11"/>
        <v>24.92511495918135</v>
      </c>
      <c r="D341" s="13">
        <v>114775.34487754409</v>
      </c>
      <c r="E341" s="13">
        <v>116775.34487754409</v>
      </c>
      <c r="F341" s="13">
        <v>118775.34487754409</v>
      </c>
      <c r="G341" s="13">
        <v>120775.34487754409</v>
      </c>
      <c r="H341" s="13">
        <v>122775.34487754409</v>
      </c>
      <c r="I341" s="13">
        <v>124400.91967345087</v>
      </c>
      <c r="J341" s="13">
        <v>121400.91967345087</v>
      </c>
      <c r="K341" s="13">
        <v>118400.91967345087</v>
      </c>
      <c r="L341" s="13">
        <v>115400.91967345087</v>
      </c>
      <c r="M341" s="13">
        <v>112400.91967345087</v>
      </c>
      <c r="N341" s="13">
        <v>109400.91967345087</v>
      </c>
      <c r="O341" s="13">
        <v>106400.91967345087</v>
      </c>
      <c r="P341" s="13">
        <v>103400.91967345087</v>
      </c>
      <c r="Q341" s="13">
        <v>100400.91967345087</v>
      </c>
      <c r="R341" s="13">
        <v>97400.919673450873</v>
      </c>
      <c r="S341" s="13">
        <v>94400.919673450873</v>
      </c>
      <c r="T341" s="13">
        <v>91400.919673450873</v>
      </c>
      <c r="U341" s="13">
        <v>88400.919673450873</v>
      </c>
      <c r="V341" s="13">
        <v>85400.919673450873</v>
      </c>
      <c r="W341" s="13">
        <v>82400.919673450873</v>
      </c>
      <c r="X341" s="13">
        <v>79400.919673450873</v>
      </c>
    </row>
    <row r="342" spans="1:24" x14ac:dyDescent="0.35">
      <c r="A342" s="34">
        <v>315</v>
      </c>
      <c r="B342" s="2">
        <v>0.44266578932333234</v>
      </c>
      <c r="C342" s="91">
        <f t="shared" si="11"/>
        <v>28.557861171926536</v>
      </c>
      <c r="D342" s="13">
        <v>125673.58351577958</v>
      </c>
      <c r="E342" s="13">
        <v>127673.58351577958</v>
      </c>
      <c r="F342" s="13">
        <v>129673.58351577958</v>
      </c>
      <c r="G342" s="13">
        <v>131673.58351577958</v>
      </c>
      <c r="H342" s="13">
        <v>133673.58351577958</v>
      </c>
      <c r="I342" s="13">
        <v>135673.58351577958</v>
      </c>
      <c r="J342" s="13">
        <v>137673.58351577958</v>
      </c>
      <c r="K342" s="13">
        <v>139673.58351577958</v>
      </c>
      <c r="L342" s="13">
        <v>141673.58351577958</v>
      </c>
      <c r="M342" s="13">
        <v>141462.88937541225</v>
      </c>
      <c r="N342" s="13">
        <v>138462.88937541225</v>
      </c>
      <c r="O342" s="13">
        <v>135462.88937541225</v>
      </c>
      <c r="P342" s="13">
        <v>132462.88937541225</v>
      </c>
      <c r="Q342" s="13">
        <v>129462.88937541225</v>
      </c>
      <c r="R342" s="13">
        <v>126462.88937541225</v>
      </c>
      <c r="S342" s="13">
        <v>123462.88937541225</v>
      </c>
      <c r="T342" s="13">
        <v>120462.88937541225</v>
      </c>
      <c r="U342" s="13">
        <v>117462.88937541225</v>
      </c>
      <c r="V342" s="13">
        <v>114462.88937541225</v>
      </c>
      <c r="W342" s="13">
        <v>111462.88937541225</v>
      </c>
      <c r="X342" s="13">
        <v>108462.88937541225</v>
      </c>
    </row>
    <row r="343" spans="1:24" x14ac:dyDescent="0.35">
      <c r="A343" s="34">
        <v>316</v>
      </c>
      <c r="B343" s="2">
        <v>0.60507471332259999</v>
      </c>
      <c r="C343" s="91">
        <f t="shared" si="11"/>
        <v>32.66504656919917</v>
      </c>
      <c r="D343" s="13">
        <v>137995.13970759755</v>
      </c>
      <c r="E343" s="13">
        <v>139995.13970759755</v>
      </c>
      <c r="F343" s="13">
        <v>141995.13970759755</v>
      </c>
      <c r="G343" s="13">
        <v>143995.13970759755</v>
      </c>
      <c r="H343" s="13">
        <v>145995.13970759755</v>
      </c>
      <c r="I343" s="13">
        <v>147995.13970759755</v>
      </c>
      <c r="J343" s="13">
        <v>149995.13970759755</v>
      </c>
      <c r="K343" s="13">
        <v>151995.13970759755</v>
      </c>
      <c r="L343" s="13">
        <v>153995.13970759755</v>
      </c>
      <c r="M343" s="13">
        <v>155995.13970759755</v>
      </c>
      <c r="N343" s="13">
        <v>157995.13970759755</v>
      </c>
      <c r="O343" s="13">
        <v>159995.13970759755</v>
      </c>
      <c r="P343" s="13">
        <v>161995.13970759755</v>
      </c>
      <c r="Q343" s="13">
        <v>162320.37255359336</v>
      </c>
      <c r="R343" s="13">
        <v>159320.37255359336</v>
      </c>
      <c r="S343" s="13">
        <v>156320.37255359336</v>
      </c>
      <c r="T343" s="13">
        <v>153320.37255359336</v>
      </c>
      <c r="U343" s="13">
        <v>150320.37255359336</v>
      </c>
      <c r="V343" s="13">
        <v>147320.37255359336</v>
      </c>
      <c r="W343" s="13">
        <v>144320.37255359336</v>
      </c>
      <c r="X343" s="13">
        <v>141320.37255359336</v>
      </c>
    </row>
    <row r="344" spans="1:24" x14ac:dyDescent="0.35">
      <c r="A344" s="34">
        <v>317</v>
      </c>
      <c r="B344" s="2">
        <v>0.29078076333044944</v>
      </c>
      <c r="C344" s="91">
        <f t="shared" si="11"/>
        <v>24.48894749934718</v>
      </c>
      <c r="D344" s="13">
        <v>113466.84249804157</v>
      </c>
      <c r="E344" s="13">
        <v>115466.84249804157</v>
      </c>
      <c r="F344" s="13">
        <v>117466.84249804157</v>
      </c>
      <c r="G344" s="13">
        <v>119466.84249804151</v>
      </c>
      <c r="H344" s="13">
        <v>121466.84249804151</v>
      </c>
      <c r="I344" s="13">
        <v>120911.57999477745</v>
      </c>
      <c r="J344" s="13">
        <v>117911.57999477745</v>
      </c>
      <c r="K344" s="13">
        <v>114911.57999477745</v>
      </c>
      <c r="L344" s="13">
        <v>111911.57999477745</v>
      </c>
      <c r="M344" s="13">
        <v>108911.57999477745</v>
      </c>
      <c r="N344" s="13">
        <v>105911.57999477745</v>
      </c>
      <c r="O344" s="13">
        <v>102911.57999477745</v>
      </c>
      <c r="P344" s="13">
        <v>99911.57999477745</v>
      </c>
      <c r="Q344" s="13">
        <v>96911.57999477745</v>
      </c>
      <c r="R344" s="13">
        <v>93911.57999477745</v>
      </c>
      <c r="S344" s="13">
        <v>90911.57999477745</v>
      </c>
      <c r="T344" s="13">
        <v>87911.57999477745</v>
      </c>
      <c r="U344" s="13">
        <v>84911.57999477745</v>
      </c>
      <c r="V344" s="13">
        <v>81911.57999477745</v>
      </c>
      <c r="W344" s="13">
        <v>78911.57999477745</v>
      </c>
      <c r="X344" s="13">
        <v>75911.57999477745</v>
      </c>
    </row>
    <row r="345" spans="1:24" x14ac:dyDescent="0.35">
      <c r="A345" s="34">
        <v>318</v>
      </c>
      <c r="B345" s="2">
        <v>0.32986520319346047</v>
      </c>
      <c r="C345" s="91">
        <f t="shared" si="11"/>
        <v>25.597145898860042</v>
      </c>
      <c r="D345" s="13">
        <v>116791.43769658008</v>
      </c>
      <c r="E345" s="13">
        <v>118791.43769658008</v>
      </c>
      <c r="F345" s="13">
        <v>120791.43769658008</v>
      </c>
      <c r="G345" s="13">
        <v>122791.43769658008</v>
      </c>
      <c r="H345" s="13">
        <v>124791.43769658008</v>
      </c>
      <c r="I345" s="13">
        <v>126791.43769658013</v>
      </c>
      <c r="J345" s="13">
        <v>126777.16719088028</v>
      </c>
      <c r="K345" s="13">
        <v>123777.16719088028</v>
      </c>
      <c r="L345" s="13">
        <v>120777.16719088028</v>
      </c>
      <c r="M345" s="13">
        <v>117777.16719088028</v>
      </c>
      <c r="N345" s="13">
        <v>114777.16719088028</v>
      </c>
      <c r="O345" s="13">
        <v>111777.16719088028</v>
      </c>
      <c r="P345" s="13">
        <v>108777.16719088028</v>
      </c>
      <c r="Q345" s="13">
        <v>105777.16719088028</v>
      </c>
      <c r="R345" s="13">
        <v>102777.16719088028</v>
      </c>
      <c r="S345" s="13">
        <v>99777.167190880282</v>
      </c>
      <c r="T345" s="13">
        <v>96777.167190880282</v>
      </c>
      <c r="U345" s="13">
        <v>93777.167190880282</v>
      </c>
      <c r="V345" s="13">
        <v>90777.167190880282</v>
      </c>
      <c r="W345" s="13">
        <v>87777.167190880282</v>
      </c>
      <c r="X345" s="13">
        <v>84777.167190880282</v>
      </c>
    </row>
    <row r="346" spans="1:24" x14ac:dyDescent="0.35">
      <c r="A346" s="34">
        <v>319</v>
      </c>
      <c r="B346" s="2">
        <v>0.36851830623154436</v>
      </c>
      <c r="C346" s="91">
        <f t="shared" si="11"/>
        <v>26.642197869953257</v>
      </c>
      <c r="D346" s="13">
        <v>119926.59360985982</v>
      </c>
      <c r="E346" s="13">
        <v>121926.59360985982</v>
      </c>
      <c r="F346" s="13">
        <v>123926.59360985982</v>
      </c>
      <c r="G346" s="13">
        <v>125926.59360985982</v>
      </c>
      <c r="H346" s="13">
        <v>127926.59360985982</v>
      </c>
      <c r="I346" s="13">
        <v>129926.59360985982</v>
      </c>
      <c r="J346" s="13">
        <v>131926.59360985982</v>
      </c>
      <c r="K346" s="13">
        <v>132137.5829596261</v>
      </c>
      <c r="L346" s="13">
        <v>129137.5829596261</v>
      </c>
      <c r="M346" s="13">
        <v>126137.5829596261</v>
      </c>
      <c r="N346" s="13">
        <v>123137.5829596261</v>
      </c>
      <c r="O346" s="13">
        <v>120137.5829596261</v>
      </c>
      <c r="P346" s="13">
        <v>117137.5829596261</v>
      </c>
      <c r="Q346" s="13">
        <v>114137.5829596261</v>
      </c>
      <c r="R346" s="13">
        <v>111137.5829596261</v>
      </c>
      <c r="S346" s="13">
        <v>108137.5829596261</v>
      </c>
      <c r="T346" s="13">
        <v>105137.5829596261</v>
      </c>
      <c r="U346" s="13">
        <v>102137.5829596261</v>
      </c>
      <c r="V346" s="13">
        <v>99137.582959626103</v>
      </c>
      <c r="W346" s="13">
        <v>96137.582959626103</v>
      </c>
      <c r="X346" s="13">
        <v>93137.582959626103</v>
      </c>
    </row>
    <row r="347" spans="1:24" x14ac:dyDescent="0.35">
      <c r="A347" s="34">
        <v>320</v>
      </c>
      <c r="B347" s="2">
        <v>0.56453874870411169</v>
      </c>
      <c r="C347" s="91">
        <f t="shared" si="11"/>
        <v>31.624868249283953</v>
      </c>
      <c r="D347" s="13">
        <v>134874.60474785184</v>
      </c>
      <c r="E347" s="13">
        <v>136874.60474785184</v>
      </c>
      <c r="F347" s="13">
        <v>138874.60474785184</v>
      </c>
      <c r="G347" s="13">
        <v>140874.60474785184</v>
      </c>
      <c r="H347" s="13">
        <v>142874.60474785184</v>
      </c>
      <c r="I347" s="13">
        <v>144874.60474785184</v>
      </c>
      <c r="J347" s="13">
        <v>146874.60474785184</v>
      </c>
      <c r="K347" s="13">
        <v>148874.60474785184</v>
      </c>
      <c r="L347" s="13">
        <v>150874.60474785184</v>
      </c>
      <c r="M347" s="13">
        <v>152874.60474785184</v>
      </c>
      <c r="N347" s="13">
        <v>154874.60474785184</v>
      </c>
      <c r="O347" s="13">
        <v>156874.60474785184</v>
      </c>
      <c r="P347" s="13">
        <v>156998.94599427166</v>
      </c>
      <c r="Q347" s="13">
        <v>153998.94599427166</v>
      </c>
      <c r="R347" s="13">
        <v>150998.94599427166</v>
      </c>
      <c r="S347" s="13">
        <v>147998.94599427166</v>
      </c>
      <c r="T347" s="13">
        <v>144998.94599427166</v>
      </c>
      <c r="U347" s="13">
        <v>141998.94599427166</v>
      </c>
      <c r="V347" s="13">
        <v>138998.94599427166</v>
      </c>
      <c r="W347" s="13">
        <v>135998.94599427166</v>
      </c>
      <c r="X347" s="13">
        <v>132998.94599427166</v>
      </c>
    </row>
    <row r="348" spans="1:24" x14ac:dyDescent="0.35">
      <c r="A348" s="34">
        <v>321</v>
      </c>
      <c r="B348" s="2">
        <v>0.2403461867557497</v>
      </c>
      <c r="C348" s="91">
        <f t="shared" si="11"/>
        <v>22.948105944277923</v>
      </c>
      <c r="D348" s="13">
        <v>108844.3178328338</v>
      </c>
      <c r="E348" s="13">
        <v>110844.3178328338</v>
      </c>
      <c r="F348" s="13">
        <v>112844.3178328338</v>
      </c>
      <c r="G348" s="13">
        <v>114584.84755422338</v>
      </c>
      <c r="H348" s="13">
        <v>111584.84755422338</v>
      </c>
      <c r="I348" s="13">
        <v>108584.84755422338</v>
      </c>
      <c r="J348" s="13">
        <v>105584.84755422338</v>
      </c>
      <c r="K348" s="13">
        <v>102584.84755422338</v>
      </c>
      <c r="L348" s="13">
        <v>99584.847554223379</v>
      </c>
      <c r="M348" s="13">
        <v>96584.847554223379</v>
      </c>
      <c r="N348" s="13">
        <v>93584.847554223379</v>
      </c>
      <c r="O348" s="13">
        <v>90584.847554223379</v>
      </c>
      <c r="P348" s="13">
        <v>87584.847554223379</v>
      </c>
      <c r="Q348" s="13">
        <v>84584.847554223379</v>
      </c>
      <c r="R348" s="13">
        <v>81584.847554223379</v>
      </c>
      <c r="S348" s="13">
        <v>78584.847554223379</v>
      </c>
      <c r="T348" s="13">
        <v>75584.847554223379</v>
      </c>
      <c r="U348" s="13">
        <v>72584.847554223379</v>
      </c>
      <c r="V348" s="13">
        <v>69584.847554223379</v>
      </c>
      <c r="W348" s="13">
        <v>66584.847554223379</v>
      </c>
      <c r="X348" s="13">
        <v>63584.847554223379</v>
      </c>
    </row>
    <row r="349" spans="1:24" x14ac:dyDescent="0.35">
      <c r="A349" s="34">
        <v>322</v>
      </c>
      <c r="B349" s="2">
        <v>0.68121828948913088</v>
      </c>
      <c r="C349" s="91">
        <f t="shared" ref="C349:C412" si="12">_xlfn.NORM.INV(B349,$F$6,$F$8)</f>
        <v>34.711082681338837</v>
      </c>
      <c r="D349" s="13">
        <v>144133.24804401642</v>
      </c>
      <c r="E349" s="13">
        <v>146133.24804401642</v>
      </c>
      <c r="F349" s="13">
        <v>148133.24804401642</v>
      </c>
      <c r="G349" s="13">
        <v>150133.24804401642</v>
      </c>
      <c r="H349" s="13">
        <v>152133.24804401642</v>
      </c>
      <c r="I349" s="13">
        <v>154133.24804401654</v>
      </c>
      <c r="J349" s="13">
        <v>156133.24804401654</v>
      </c>
      <c r="K349" s="13">
        <v>158133.24804401654</v>
      </c>
      <c r="L349" s="13">
        <v>160133.24804401654</v>
      </c>
      <c r="M349" s="13">
        <v>162133.24804401654</v>
      </c>
      <c r="N349" s="13">
        <v>164133.24804401654</v>
      </c>
      <c r="O349" s="13">
        <v>166133.24804401654</v>
      </c>
      <c r="P349" s="13">
        <v>168133.24804401654</v>
      </c>
      <c r="Q349" s="13">
        <v>170133.24804401654</v>
      </c>
      <c r="R349" s="13">
        <v>172133.24804401654</v>
      </c>
      <c r="S349" s="13">
        <v>172688.66145071073</v>
      </c>
      <c r="T349" s="13">
        <v>169688.66145071073</v>
      </c>
      <c r="U349" s="13">
        <v>166688.66145071073</v>
      </c>
      <c r="V349" s="13">
        <v>163688.66145071073</v>
      </c>
      <c r="W349" s="13">
        <v>160688.66145071073</v>
      </c>
      <c r="X349" s="13">
        <v>157688.66145071073</v>
      </c>
    </row>
    <row r="350" spans="1:24" x14ac:dyDescent="0.35">
      <c r="A350" s="34">
        <v>323</v>
      </c>
      <c r="B350" s="2">
        <v>0.22835581100284408</v>
      </c>
      <c r="C350" s="91">
        <f t="shared" si="12"/>
        <v>22.557274790447636</v>
      </c>
      <c r="D350" s="13">
        <v>107671.82437134284</v>
      </c>
      <c r="E350" s="13">
        <v>109671.82437134284</v>
      </c>
      <c r="F350" s="13">
        <v>111671.82437134284</v>
      </c>
      <c r="G350" s="13">
        <v>111458.19832358102</v>
      </c>
      <c r="H350" s="13">
        <v>108458.19832358102</v>
      </c>
      <c r="I350" s="13">
        <v>105458.19832358102</v>
      </c>
      <c r="J350" s="13">
        <v>102458.19832358102</v>
      </c>
      <c r="K350" s="13">
        <v>99458.198323581018</v>
      </c>
      <c r="L350" s="13">
        <v>96458.198323581018</v>
      </c>
      <c r="M350" s="13">
        <v>93458.198323581018</v>
      </c>
      <c r="N350" s="13">
        <v>90458.198323581018</v>
      </c>
      <c r="O350" s="13">
        <v>87458.198323581018</v>
      </c>
      <c r="P350" s="13">
        <v>84458.198323581018</v>
      </c>
      <c r="Q350" s="13">
        <v>81458.198323581018</v>
      </c>
      <c r="R350" s="13">
        <v>78458.198323581018</v>
      </c>
      <c r="S350" s="13">
        <v>75458.198323581018</v>
      </c>
      <c r="T350" s="13">
        <v>72458.198323581018</v>
      </c>
      <c r="U350" s="13">
        <v>69458.198323581018</v>
      </c>
      <c r="V350" s="13">
        <v>66458.198323581018</v>
      </c>
      <c r="W350" s="13">
        <v>63458.198323581018</v>
      </c>
      <c r="X350" s="13">
        <v>60458.198323581018</v>
      </c>
    </row>
    <row r="351" spans="1:24" x14ac:dyDescent="0.35">
      <c r="A351" s="34">
        <v>324</v>
      </c>
      <c r="B351" s="2">
        <v>0.13517740356712105</v>
      </c>
      <c r="C351" s="91">
        <f t="shared" si="12"/>
        <v>18.977541576973756</v>
      </c>
      <c r="D351" s="13">
        <v>91820.332615790074</v>
      </c>
      <c r="E351" s="13">
        <v>88820.332615790074</v>
      </c>
      <c r="F351" s="13">
        <v>85820.332615790074</v>
      </c>
      <c r="G351" s="13">
        <v>82820.332615790074</v>
      </c>
      <c r="H351" s="13">
        <v>79820.332615790074</v>
      </c>
      <c r="I351" s="13">
        <v>76820.332615790074</v>
      </c>
      <c r="J351" s="13">
        <v>73820.332615790074</v>
      </c>
      <c r="K351" s="13">
        <v>70820.332615790074</v>
      </c>
      <c r="L351" s="13">
        <v>67820.332615790074</v>
      </c>
      <c r="M351" s="13">
        <v>64820.332615790074</v>
      </c>
      <c r="N351" s="13">
        <v>61820.332615790074</v>
      </c>
      <c r="O351" s="13">
        <v>58820.332615790074</v>
      </c>
      <c r="P351" s="13">
        <v>55820.332615790074</v>
      </c>
      <c r="Q351" s="13">
        <v>52820.332615790074</v>
      </c>
      <c r="R351" s="13">
        <v>49820.332615790074</v>
      </c>
      <c r="S351" s="13">
        <v>46820.332615790074</v>
      </c>
      <c r="T351" s="13">
        <v>43820.332615790074</v>
      </c>
      <c r="U351" s="13">
        <v>40820.332615790074</v>
      </c>
      <c r="V351" s="13">
        <v>37820.332615790074</v>
      </c>
      <c r="W351" s="13">
        <v>34820.332615790074</v>
      </c>
      <c r="X351" s="13">
        <v>31820.332615790074</v>
      </c>
    </row>
    <row r="352" spans="1:24" x14ac:dyDescent="0.35">
      <c r="A352" s="34">
        <v>325</v>
      </c>
      <c r="B352" s="2">
        <v>0.75743446933595393</v>
      </c>
      <c r="C352" s="91">
        <f t="shared" si="12"/>
        <v>36.98073769246453</v>
      </c>
      <c r="D352" s="13">
        <v>150942.21307739359</v>
      </c>
      <c r="E352" s="13">
        <v>152942.21307739359</v>
      </c>
      <c r="F352" s="13">
        <v>154942.21307739359</v>
      </c>
      <c r="G352" s="13">
        <v>156942.21307739359</v>
      </c>
      <c r="H352" s="13">
        <v>158942.21307739359</v>
      </c>
      <c r="I352" s="13">
        <v>160942.21307739359</v>
      </c>
      <c r="J352" s="13">
        <v>162942.21307739359</v>
      </c>
      <c r="K352" s="13">
        <v>164942.21307739359</v>
      </c>
      <c r="L352" s="13">
        <v>166942.21307739359</v>
      </c>
      <c r="M352" s="13">
        <v>168942.21307739359</v>
      </c>
      <c r="N352" s="13">
        <v>170942.21307739359</v>
      </c>
      <c r="O352" s="13">
        <v>172942.21307739359</v>
      </c>
      <c r="P352" s="13">
        <v>174942.21307739359</v>
      </c>
      <c r="Q352" s="13">
        <v>176942.21307739359</v>
      </c>
      <c r="R352" s="13">
        <v>178942.21307739359</v>
      </c>
      <c r="S352" s="13">
        <v>180942.21307739359</v>
      </c>
      <c r="T352" s="13">
        <v>182942.21307739359</v>
      </c>
      <c r="U352" s="13">
        <v>184845.90153971629</v>
      </c>
      <c r="V352" s="13">
        <v>181845.90153971629</v>
      </c>
      <c r="W352" s="13">
        <v>178845.90153971629</v>
      </c>
      <c r="X352" s="13">
        <v>175845.90153971629</v>
      </c>
    </row>
    <row r="353" spans="1:24" x14ac:dyDescent="0.35">
      <c r="A353" s="34">
        <v>326</v>
      </c>
      <c r="B353" s="2">
        <v>0.79005686285644916</v>
      </c>
      <c r="C353" s="91">
        <f t="shared" si="12"/>
        <v>38.066185652973033</v>
      </c>
      <c r="D353" s="13">
        <v>154198.55695891904</v>
      </c>
      <c r="E353" s="13">
        <v>156198.55695891904</v>
      </c>
      <c r="F353" s="13">
        <v>158198.55695891904</v>
      </c>
      <c r="G353" s="13">
        <v>160198.55695891904</v>
      </c>
      <c r="H353" s="13">
        <v>162198.55695891904</v>
      </c>
      <c r="I353" s="13">
        <v>164198.55695891904</v>
      </c>
      <c r="J353" s="13">
        <v>166198.55695891904</v>
      </c>
      <c r="K353" s="13">
        <v>168198.55695891904</v>
      </c>
      <c r="L353" s="13">
        <v>170198.55695891904</v>
      </c>
      <c r="M353" s="13">
        <v>172198.55695891904</v>
      </c>
      <c r="N353" s="13">
        <v>174198.55695891904</v>
      </c>
      <c r="O353" s="13">
        <v>176198.55695891904</v>
      </c>
      <c r="P353" s="13">
        <v>178198.55695891904</v>
      </c>
      <c r="Q353" s="13">
        <v>180198.55695891904</v>
      </c>
      <c r="R353" s="13">
        <v>182198.55695891904</v>
      </c>
      <c r="S353" s="13">
        <v>184198.55695891904</v>
      </c>
      <c r="T353" s="13">
        <v>186198.55695891904</v>
      </c>
      <c r="U353" s="13">
        <v>188198.55695891904</v>
      </c>
      <c r="V353" s="13">
        <v>190198.55695891904</v>
      </c>
      <c r="W353" s="13">
        <v>187529.48522378423</v>
      </c>
      <c r="X353" s="13">
        <v>184529.48522378423</v>
      </c>
    </row>
    <row r="354" spans="1:24" x14ac:dyDescent="0.35">
      <c r="A354" s="34">
        <v>327</v>
      </c>
      <c r="B354" s="2">
        <v>2.7031768635386588E-2</v>
      </c>
      <c r="C354" s="91">
        <f t="shared" si="12"/>
        <v>10.736728487792032</v>
      </c>
      <c r="D354" s="13">
        <v>25893.827902336256</v>
      </c>
      <c r="E354" s="13">
        <v>22893.827902336256</v>
      </c>
      <c r="F354" s="13">
        <v>19893.827902336256</v>
      </c>
      <c r="G354" s="13">
        <v>16893.827902336256</v>
      </c>
      <c r="H354" s="13">
        <v>13893.827902336256</v>
      </c>
      <c r="I354" s="13">
        <v>10893.827902336256</v>
      </c>
      <c r="J354" s="13">
        <v>7893.8279023362556</v>
      </c>
      <c r="K354" s="13">
        <v>4893.8279023362556</v>
      </c>
      <c r="L354" s="13">
        <v>1893.8279023362556</v>
      </c>
      <c r="M354" s="13">
        <v>-1106.1720976637444</v>
      </c>
      <c r="N354" s="13">
        <v>-4106.1720976637444</v>
      </c>
      <c r="O354" s="13">
        <v>-7106.1720976637444</v>
      </c>
      <c r="P354" s="13">
        <v>-10106.172097663744</v>
      </c>
      <c r="Q354" s="13">
        <v>-13106.172097663744</v>
      </c>
      <c r="R354" s="13">
        <v>-16106.172097663744</v>
      </c>
      <c r="S354" s="13">
        <v>-19106.172097663744</v>
      </c>
      <c r="T354" s="13">
        <v>-22106.172097663744</v>
      </c>
      <c r="U354" s="13">
        <v>-25106.172097663744</v>
      </c>
      <c r="V354" s="13">
        <v>-28106.172097663744</v>
      </c>
      <c r="W354" s="13">
        <v>-31106.172097663744</v>
      </c>
      <c r="X354" s="13">
        <v>-34106.172097663744</v>
      </c>
    </row>
    <row r="355" spans="1:24" x14ac:dyDescent="0.35">
      <c r="A355" s="34">
        <v>328</v>
      </c>
      <c r="B355" s="2">
        <v>0.6688973397306639</v>
      </c>
      <c r="C355" s="91">
        <f t="shared" si="12"/>
        <v>34.368704263129885</v>
      </c>
      <c r="D355" s="13">
        <v>143106.11278938968</v>
      </c>
      <c r="E355" s="13">
        <v>145106.11278938968</v>
      </c>
      <c r="F355" s="13">
        <v>147106.11278938968</v>
      </c>
      <c r="G355" s="13">
        <v>149106.11278938968</v>
      </c>
      <c r="H355" s="13">
        <v>151106.11278938968</v>
      </c>
      <c r="I355" s="13">
        <v>153106.11278938968</v>
      </c>
      <c r="J355" s="13">
        <v>155106.11278938968</v>
      </c>
      <c r="K355" s="13">
        <v>157106.11278938968</v>
      </c>
      <c r="L355" s="13">
        <v>159106.11278938968</v>
      </c>
      <c r="M355" s="13">
        <v>161106.11278938968</v>
      </c>
      <c r="N355" s="13">
        <v>163106.11278938968</v>
      </c>
      <c r="O355" s="13">
        <v>165106.11278938968</v>
      </c>
      <c r="P355" s="13">
        <v>167106.11278938968</v>
      </c>
      <c r="Q355" s="13">
        <v>169106.11278938968</v>
      </c>
      <c r="R355" s="13">
        <v>171106.11278938968</v>
      </c>
      <c r="S355" s="13">
        <v>169949.63410503906</v>
      </c>
      <c r="T355" s="13">
        <v>166949.63410503906</v>
      </c>
      <c r="U355" s="13">
        <v>163949.63410503906</v>
      </c>
      <c r="V355" s="13">
        <v>160949.63410503906</v>
      </c>
      <c r="W355" s="13">
        <v>157949.63410503906</v>
      </c>
      <c r="X355" s="13">
        <v>154949.63410503906</v>
      </c>
    </row>
    <row r="356" spans="1:24" x14ac:dyDescent="0.35">
      <c r="A356" s="34">
        <v>329</v>
      </c>
      <c r="B356" s="2">
        <v>0.5499683370067957</v>
      </c>
      <c r="C356" s="91">
        <f t="shared" si="12"/>
        <v>31.255813507867725</v>
      </c>
      <c r="D356" s="13">
        <v>133767.44052360323</v>
      </c>
      <c r="E356" s="13">
        <v>135767.44052360323</v>
      </c>
      <c r="F356" s="13">
        <v>137767.44052360323</v>
      </c>
      <c r="G356" s="13">
        <v>139767.44052360323</v>
      </c>
      <c r="H356" s="13">
        <v>141767.44052360323</v>
      </c>
      <c r="I356" s="13">
        <v>143767.44052360323</v>
      </c>
      <c r="J356" s="13">
        <v>145767.44052360323</v>
      </c>
      <c r="K356" s="13">
        <v>147767.44052360323</v>
      </c>
      <c r="L356" s="13">
        <v>149767.44052360323</v>
      </c>
      <c r="M356" s="13">
        <v>151767.44052360323</v>
      </c>
      <c r="N356" s="13">
        <v>153767.44052360323</v>
      </c>
      <c r="O356" s="13">
        <v>155767.44052360323</v>
      </c>
      <c r="P356" s="13">
        <v>154046.50806294184</v>
      </c>
      <c r="Q356" s="13">
        <v>151046.50806294184</v>
      </c>
      <c r="R356" s="13">
        <v>148046.50806294184</v>
      </c>
      <c r="S356" s="13">
        <v>145046.50806294184</v>
      </c>
      <c r="T356" s="13">
        <v>142046.50806294184</v>
      </c>
      <c r="U356" s="13">
        <v>139046.50806294184</v>
      </c>
      <c r="V356" s="13">
        <v>136046.50806294184</v>
      </c>
      <c r="W356" s="13">
        <v>133046.50806294184</v>
      </c>
      <c r="X356" s="13">
        <v>130046.50806294184</v>
      </c>
    </row>
    <row r="357" spans="1:24" x14ac:dyDescent="0.35">
      <c r="A357" s="34">
        <v>330</v>
      </c>
      <c r="B357" s="2">
        <v>0.19688401388000765</v>
      </c>
      <c r="C357" s="91">
        <f t="shared" si="12"/>
        <v>21.471960403935501</v>
      </c>
      <c r="D357" s="13">
        <v>104415.88121180644</v>
      </c>
      <c r="E357" s="13">
        <v>106415.88121180644</v>
      </c>
      <c r="F357" s="13">
        <v>105775.68323148391</v>
      </c>
      <c r="G357" s="13">
        <v>102775.68323148391</v>
      </c>
      <c r="H357" s="13">
        <v>99775.683231483912</v>
      </c>
      <c r="I357" s="13">
        <v>96775.683231483912</v>
      </c>
      <c r="J357" s="13">
        <v>93775.683231483912</v>
      </c>
      <c r="K357" s="13">
        <v>90775.683231483912</v>
      </c>
      <c r="L357" s="13">
        <v>87775.683231483912</v>
      </c>
      <c r="M357" s="13">
        <v>84775.683231483912</v>
      </c>
      <c r="N357" s="13">
        <v>81775.683231483912</v>
      </c>
      <c r="O357" s="13">
        <v>78775.683231483912</v>
      </c>
      <c r="P357" s="13">
        <v>75775.683231483912</v>
      </c>
      <c r="Q357" s="13">
        <v>72775.683231483912</v>
      </c>
      <c r="R357" s="13">
        <v>69775.683231483912</v>
      </c>
      <c r="S357" s="13">
        <v>66775.683231483912</v>
      </c>
      <c r="T357" s="13">
        <v>63775.683231483912</v>
      </c>
      <c r="U357" s="13">
        <v>60775.683231483912</v>
      </c>
      <c r="V357" s="13">
        <v>57775.683231483912</v>
      </c>
      <c r="W357" s="13">
        <v>54775.683231483912</v>
      </c>
      <c r="X357" s="13">
        <v>51775.683231483912</v>
      </c>
    </row>
    <row r="358" spans="1:24" x14ac:dyDescent="0.35">
      <c r="A358" s="34">
        <v>331</v>
      </c>
      <c r="B358" s="2">
        <v>0.72161690342357088</v>
      </c>
      <c r="C358" s="91">
        <f t="shared" si="12"/>
        <v>35.876515634987136</v>
      </c>
      <c r="D358" s="13">
        <v>147629.54690496146</v>
      </c>
      <c r="E358" s="13">
        <v>149629.54690496146</v>
      </c>
      <c r="F358" s="13">
        <v>151629.54690496146</v>
      </c>
      <c r="G358" s="13">
        <v>153629.54690496146</v>
      </c>
      <c r="H358" s="13">
        <v>155629.54690496146</v>
      </c>
      <c r="I358" s="13">
        <v>157629.54690496146</v>
      </c>
      <c r="J358" s="13">
        <v>159629.54690496146</v>
      </c>
      <c r="K358" s="13">
        <v>161629.54690496146</v>
      </c>
      <c r="L358" s="13">
        <v>163629.54690496146</v>
      </c>
      <c r="M358" s="13">
        <v>165629.54690496146</v>
      </c>
      <c r="N358" s="13">
        <v>167629.54690496135</v>
      </c>
      <c r="O358" s="13">
        <v>169629.54690496135</v>
      </c>
      <c r="P358" s="13">
        <v>171629.54690496135</v>
      </c>
      <c r="Q358" s="13">
        <v>173629.54690496135</v>
      </c>
      <c r="R358" s="13">
        <v>175629.54690496135</v>
      </c>
      <c r="S358" s="13">
        <v>177629.54690496135</v>
      </c>
      <c r="T358" s="13">
        <v>179012.12507989712</v>
      </c>
      <c r="U358" s="13">
        <v>176012.12507989712</v>
      </c>
      <c r="V358" s="13">
        <v>173012.12507989712</v>
      </c>
      <c r="W358" s="13">
        <v>170012.12507989712</v>
      </c>
      <c r="X358" s="13">
        <v>167012.12507989712</v>
      </c>
    </row>
    <row r="359" spans="1:24" x14ac:dyDescent="0.35">
      <c r="A359" s="34">
        <v>332</v>
      </c>
      <c r="B359" s="2">
        <v>0.44134186666985498</v>
      </c>
      <c r="C359" s="91">
        <f t="shared" si="12"/>
        <v>28.524320284886741</v>
      </c>
      <c r="D359" s="13">
        <v>125572.96085466025</v>
      </c>
      <c r="E359" s="13">
        <v>127572.96085466025</v>
      </c>
      <c r="F359" s="13">
        <v>129572.96085466025</v>
      </c>
      <c r="G359" s="13">
        <v>131572.96085466025</v>
      </c>
      <c r="H359" s="13">
        <v>133572.96085466025</v>
      </c>
      <c r="I359" s="13">
        <v>135572.96085466025</v>
      </c>
      <c r="J359" s="13">
        <v>137572.96085466025</v>
      </c>
      <c r="K359" s="13">
        <v>139572.96085466025</v>
      </c>
      <c r="L359" s="13">
        <v>141572.96085466025</v>
      </c>
      <c r="M359" s="13">
        <v>141194.56227909389</v>
      </c>
      <c r="N359" s="13">
        <v>138194.56227909389</v>
      </c>
      <c r="O359" s="13">
        <v>135194.56227909401</v>
      </c>
      <c r="P359" s="13">
        <v>132194.56227909401</v>
      </c>
      <c r="Q359" s="13">
        <v>129194.56227909401</v>
      </c>
      <c r="R359" s="13">
        <v>126194.56227909401</v>
      </c>
      <c r="S359" s="13">
        <v>123194.56227909401</v>
      </c>
      <c r="T359" s="13">
        <v>120194.56227909401</v>
      </c>
      <c r="U359" s="13">
        <v>117194.56227909401</v>
      </c>
      <c r="V359" s="13">
        <v>114194.56227909401</v>
      </c>
      <c r="W359" s="13">
        <v>111194.56227909401</v>
      </c>
      <c r="X359" s="13">
        <v>108194.56227909401</v>
      </c>
    </row>
    <row r="360" spans="1:24" x14ac:dyDescent="0.35">
      <c r="A360" s="34">
        <v>333</v>
      </c>
      <c r="B360" s="2">
        <v>0.81378619450955703</v>
      </c>
      <c r="C360" s="91">
        <f t="shared" si="12"/>
        <v>38.919353028676895</v>
      </c>
      <c r="D360" s="13">
        <v>156758.05908603058</v>
      </c>
      <c r="E360" s="13">
        <v>158758.05908603058</v>
      </c>
      <c r="F360" s="13">
        <v>160758.05908603058</v>
      </c>
      <c r="G360" s="13">
        <v>162758.05908603058</v>
      </c>
      <c r="H360" s="13">
        <v>164758.05908603058</v>
      </c>
      <c r="I360" s="13">
        <v>166758.05908603058</v>
      </c>
      <c r="J360" s="13">
        <v>168758.05908603058</v>
      </c>
      <c r="K360" s="13">
        <v>170758.05908603058</v>
      </c>
      <c r="L360" s="13">
        <v>172758.05908603058</v>
      </c>
      <c r="M360" s="13">
        <v>174758.0590860307</v>
      </c>
      <c r="N360" s="13">
        <v>176758.0590860307</v>
      </c>
      <c r="O360" s="13">
        <v>178758.0590860307</v>
      </c>
      <c r="P360" s="13">
        <v>180758.0590860307</v>
      </c>
      <c r="Q360" s="13">
        <v>182758.0590860307</v>
      </c>
      <c r="R360" s="13">
        <v>184758.0590860307</v>
      </c>
      <c r="S360" s="13">
        <v>186758.0590860307</v>
      </c>
      <c r="T360" s="13">
        <v>188758.0590860307</v>
      </c>
      <c r="U360" s="13">
        <v>190758.0590860307</v>
      </c>
      <c r="V360" s="13">
        <v>192758.0590860307</v>
      </c>
      <c r="W360" s="13">
        <v>194354.82422941516</v>
      </c>
      <c r="X360" s="13">
        <v>191354.82422941516</v>
      </c>
    </row>
    <row r="361" spans="1:24" x14ac:dyDescent="0.35">
      <c r="A361" s="34">
        <v>334</v>
      </c>
      <c r="B361" s="2">
        <v>0.77047615634785516</v>
      </c>
      <c r="C361" s="91">
        <f t="shared" si="12"/>
        <v>37.404158780019195</v>
      </c>
      <c r="D361" s="13">
        <v>152212.47634005756</v>
      </c>
      <c r="E361" s="13">
        <v>154212.47634005756</v>
      </c>
      <c r="F361" s="13">
        <v>156212.47634005756</v>
      </c>
      <c r="G361" s="13">
        <v>158212.47634005756</v>
      </c>
      <c r="H361" s="13">
        <v>160212.47634005756</v>
      </c>
      <c r="I361" s="13">
        <v>162212.47634005756</v>
      </c>
      <c r="J361" s="13">
        <v>164212.47634005756</v>
      </c>
      <c r="K361" s="13">
        <v>166212.47634005756</v>
      </c>
      <c r="L361" s="13">
        <v>168212.47634005756</v>
      </c>
      <c r="M361" s="13">
        <v>170212.47634005756</v>
      </c>
      <c r="N361" s="13">
        <v>172212.47634005756</v>
      </c>
      <c r="O361" s="13">
        <v>174212.47634005756</v>
      </c>
      <c r="P361" s="13">
        <v>176212.47634005756</v>
      </c>
      <c r="Q361" s="13">
        <v>178212.47634005756</v>
      </c>
      <c r="R361" s="13">
        <v>180212.47634005756</v>
      </c>
      <c r="S361" s="13">
        <v>182212.47634005756</v>
      </c>
      <c r="T361" s="13">
        <v>184212.47634005756</v>
      </c>
      <c r="U361" s="13">
        <v>186212.47634005756</v>
      </c>
      <c r="V361" s="13">
        <v>185233.27024015354</v>
      </c>
      <c r="W361" s="13">
        <v>182233.27024015354</v>
      </c>
      <c r="X361" s="13">
        <v>179233.27024015354</v>
      </c>
    </row>
    <row r="362" spans="1:24" x14ac:dyDescent="0.35">
      <c r="A362" s="34">
        <v>335</v>
      </c>
      <c r="B362" s="2">
        <v>0.77318855481066406</v>
      </c>
      <c r="C362" s="91">
        <f t="shared" si="12"/>
        <v>37.493888151572264</v>
      </c>
      <c r="D362" s="13">
        <v>152481.66445471672</v>
      </c>
      <c r="E362" s="13">
        <v>154481.66445471672</v>
      </c>
      <c r="F362" s="13">
        <v>156481.66445471672</v>
      </c>
      <c r="G362" s="13">
        <v>158481.66445471672</v>
      </c>
      <c r="H362" s="13">
        <v>160481.66445471672</v>
      </c>
      <c r="I362" s="13">
        <v>162481.66445471672</v>
      </c>
      <c r="J362" s="13">
        <v>164481.66445471672</v>
      </c>
      <c r="K362" s="13">
        <v>166481.66445471672</v>
      </c>
      <c r="L362" s="13">
        <v>168481.66445471672</v>
      </c>
      <c r="M362" s="13">
        <v>170481.66445471672</v>
      </c>
      <c r="N362" s="13">
        <v>172481.66445471672</v>
      </c>
      <c r="O362" s="13">
        <v>174481.66445471672</v>
      </c>
      <c r="P362" s="13">
        <v>176481.66445471672</v>
      </c>
      <c r="Q362" s="13">
        <v>178481.66445471672</v>
      </c>
      <c r="R362" s="13">
        <v>180481.66445471672</v>
      </c>
      <c r="S362" s="13">
        <v>182481.66445471672</v>
      </c>
      <c r="T362" s="13">
        <v>184481.66445471672</v>
      </c>
      <c r="U362" s="13">
        <v>186481.66445471672</v>
      </c>
      <c r="V362" s="13">
        <v>185951.10521257808</v>
      </c>
      <c r="W362" s="13">
        <v>182951.10521257808</v>
      </c>
      <c r="X362" s="13">
        <v>179951.10521257808</v>
      </c>
    </row>
    <row r="363" spans="1:24" x14ac:dyDescent="0.35">
      <c r="A363" s="34">
        <v>336</v>
      </c>
      <c r="B363" s="2">
        <v>0.29829548600041389</v>
      </c>
      <c r="C363" s="91">
        <f t="shared" si="12"/>
        <v>24.706907963033071</v>
      </c>
      <c r="D363" s="13">
        <v>114120.7238890992</v>
      </c>
      <c r="E363" s="13">
        <v>116120.7238890992</v>
      </c>
      <c r="F363" s="13">
        <v>118120.7238890992</v>
      </c>
      <c r="G363" s="13">
        <v>120120.7238890992</v>
      </c>
      <c r="H363" s="13">
        <v>122120.7238890992</v>
      </c>
      <c r="I363" s="13">
        <v>122655.26370426454</v>
      </c>
      <c r="J363" s="13">
        <v>119655.26370426454</v>
      </c>
      <c r="K363" s="13">
        <v>116655.26370426454</v>
      </c>
      <c r="L363" s="13">
        <v>113655.26370426454</v>
      </c>
      <c r="M363" s="13">
        <v>110655.26370426454</v>
      </c>
      <c r="N363" s="13">
        <v>107655.26370426454</v>
      </c>
      <c r="O363" s="13">
        <v>104655.26370426454</v>
      </c>
      <c r="P363" s="13">
        <v>101655.26370426454</v>
      </c>
      <c r="Q363" s="13">
        <v>98655.263704264536</v>
      </c>
      <c r="R363" s="13">
        <v>95655.263704264536</v>
      </c>
      <c r="S363" s="13">
        <v>92655.263704264536</v>
      </c>
      <c r="T363" s="13">
        <v>89655.263704264536</v>
      </c>
      <c r="U363" s="13">
        <v>86655.263704264536</v>
      </c>
      <c r="V363" s="13">
        <v>83655.263704264536</v>
      </c>
      <c r="W363" s="13">
        <v>80655.263704264536</v>
      </c>
      <c r="X363" s="13">
        <v>77655.263704264536</v>
      </c>
    </row>
    <row r="364" spans="1:24" x14ac:dyDescent="0.35">
      <c r="A364" s="34">
        <v>337</v>
      </c>
      <c r="B364" s="2">
        <v>0.94475134858966536</v>
      </c>
      <c r="C364" s="91">
        <f t="shared" si="12"/>
        <v>45.959618872111875</v>
      </c>
      <c r="D364" s="13">
        <v>177878.85661633546</v>
      </c>
      <c r="E364" s="13">
        <v>179878.85661633546</v>
      </c>
      <c r="F364" s="13">
        <v>181878.85661633546</v>
      </c>
      <c r="G364" s="13">
        <v>183878.85661633546</v>
      </c>
      <c r="H364" s="13">
        <v>185878.85661633546</v>
      </c>
      <c r="I364" s="13">
        <v>187878.85661633569</v>
      </c>
      <c r="J364" s="13">
        <v>189878.85661633569</v>
      </c>
      <c r="K364" s="13">
        <v>191878.85661633569</v>
      </c>
      <c r="L364" s="13">
        <v>193878.85661633569</v>
      </c>
      <c r="M364" s="13">
        <v>195878.85661633569</v>
      </c>
      <c r="N364" s="13">
        <v>197878.85661633569</v>
      </c>
      <c r="O364" s="13">
        <v>199878.85661633569</v>
      </c>
      <c r="P364" s="13">
        <v>201878.85661633569</v>
      </c>
      <c r="Q364" s="13">
        <v>203878.85661633569</v>
      </c>
      <c r="R364" s="13">
        <v>205878.85661633569</v>
      </c>
      <c r="S364" s="13">
        <v>207878.85661633569</v>
      </c>
      <c r="T364" s="13">
        <v>209878.85661633569</v>
      </c>
      <c r="U364" s="13">
        <v>211878.85661633569</v>
      </c>
      <c r="V364" s="13">
        <v>213878.85661633569</v>
      </c>
      <c r="W364" s="13">
        <v>215878.85661633569</v>
      </c>
      <c r="X364" s="13">
        <v>217878.85661633569</v>
      </c>
    </row>
    <row r="365" spans="1:24" x14ac:dyDescent="0.35">
      <c r="A365" s="34">
        <v>338</v>
      </c>
      <c r="B365" s="2">
        <v>0.16552514800120832</v>
      </c>
      <c r="C365" s="91">
        <f t="shared" si="12"/>
        <v>20.27999492336388</v>
      </c>
      <c r="D365" s="13">
        <v>100839.98477009166</v>
      </c>
      <c r="E365" s="13">
        <v>99239.95938691101</v>
      </c>
      <c r="F365" s="13">
        <v>96239.95938691101</v>
      </c>
      <c r="G365" s="13">
        <v>93239.95938691101</v>
      </c>
      <c r="H365" s="13">
        <v>90239.95938691101</v>
      </c>
      <c r="I365" s="13">
        <v>87239.95938691101</v>
      </c>
      <c r="J365" s="13">
        <v>84239.95938691101</v>
      </c>
      <c r="K365" s="13">
        <v>81239.95938691101</v>
      </c>
      <c r="L365" s="13">
        <v>78239.95938691101</v>
      </c>
      <c r="M365" s="13">
        <v>75239.95938691101</v>
      </c>
      <c r="N365" s="13">
        <v>72239.95938691101</v>
      </c>
      <c r="O365" s="13">
        <v>69239.95938691101</v>
      </c>
      <c r="P365" s="13">
        <v>66239.95938691101</v>
      </c>
      <c r="Q365" s="13">
        <v>63239.95938691101</v>
      </c>
      <c r="R365" s="13">
        <v>60239.95938691101</v>
      </c>
      <c r="S365" s="13">
        <v>57239.95938691101</v>
      </c>
      <c r="T365" s="13">
        <v>54239.95938691101</v>
      </c>
      <c r="U365" s="13">
        <v>51239.95938691101</v>
      </c>
      <c r="V365" s="13">
        <v>48239.95938691101</v>
      </c>
      <c r="W365" s="13">
        <v>45239.95938691101</v>
      </c>
      <c r="X365" s="13">
        <v>42239.95938691101</v>
      </c>
    </row>
    <row r="366" spans="1:24" x14ac:dyDescent="0.35">
      <c r="A366" s="34">
        <v>339</v>
      </c>
      <c r="B366" s="2">
        <v>0.97418403808102283</v>
      </c>
      <c r="C366" s="91">
        <f t="shared" si="12"/>
        <v>49.461899738291315</v>
      </c>
      <c r="D366" s="13">
        <v>188385.69921487395</v>
      </c>
      <c r="E366" s="13">
        <v>190385.69921487395</v>
      </c>
      <c r="F366" s="13">
        <v>192385.69921487395</v>
      </c>
      <c r="G366" s="13">
        <v>194385.69921487395</v>
      </c>
      <c r="H366" s="13">
        <v>196385.69921487395</v>
      </c>
      <c r="I366" s="13">
        <v>198385.69921487395</v>
      </c>
      <c r="J366" s="13">
        <v>200385.69921487395</v>
      </c>
      <c r="K366" s="13">
        <v>202385.69921487395</v>
      </c>
      <c r="L366" s="13">
        <v>204385.69921487395</v>
      </c>
      <c r="M366" s="13">
        <v>206385.69921487395</v>
      </c>
      <c r="N366" s="13">
        <v>208385.69921487395</v>
      </c>
      <c r="O366" s="13">
        <v>210385.69921487395</v>
      </c>
      <c r="P366" s="13">
        <v>212385.69921487395</v>
      </c>
      <c r="Q366" s="13">
        <v>214385.69921487395</v>
      </c>
      <c r="R366" s="13">
        <v>216385.69921487395</v>
      </c>
      <c r="S366" s="13">
        <v>218385.69921487395</v>
      </c>
      <c r="T366" s="13">
        <v>220385.69921487395</v>
      </c>
      <c r="U366" s="13">
        <v>222385.69921487395</v>
      </c>
      <c r="V366" s="13">
        <v>224385.69921487395</v>
      </c>
      <c r="W366" s="13">
        <v>226385.69921487395</v>
      </c>
      <c r="X366" s="13">
        <v>228385.69921487395</v>
      </c>
    </row>
    <row r="367" spans="1:24" x14ac:dyDescent="0.35">
      <c r="A367" s="34">
        <v>340</v>
      </c>
      <c r="B367" s="2">
        <v>0.93493589713413661</v>
      </c>
      <c r="C367" s="91">
        <f t="shared" si="12"/>
        <v>45.135965143550692</v>
      </c>
      <c r="D367" s="13">
        <v>175407.89543065208</v>
      </c>
      <c r="E367" s="13">
        <v>177407.89543065208</v>
      </c>
      <c r="F367" s="13">
        <v>179407.89543065196</v>
      </c>
      <c r="G367" s="13">
        <v>181407.89543065196</v>
      </c>
      <c r="H367" s="13">
        <v>183407.89543065196</v>
      </c>
      <c r="I367" s="13">
        <v>185407.89543065196</v>
      </c>
      <c r="J367" s="13">
        <v>187407.89543065196</v>
      </c>
      <c r="K367" s="13">
        <v>189407.89543065196</v>
      </c>
      <c r="L367" s="13">
        <v>191407.89543065196</v>
      </c>
      <c r="M367" s="13">
        <v>193407.89543065196</v>
      </c>
      <c r="N367" s="13">
        <v>195407.89543065196</v>
      </c>
      <c r="O367" s="13">
        <v>197407.89543065196</v>
      </c>
      <c r="P367" s="13">
        <v>199407.89543065196</v>
      </c>
      <c r="Q367" s="13">
        <v>201407.89543065196</v>
      </c>
      <c r="R367" s="13">
        <v>203407.89543065208</v>
      </c>
      <c r="S367" s="13">
        <v>205407.89543065208</v>
      </c>
      <c r="T367" s="13">
        <v>207407.89543065208</v>
      </c>
      <c r="U367" s="13">
        <v>209407.89543065208</v>
      </c>
      <c r="V367" s="13">
        <v>211407.89543065208</v>
      </c>
      <c r="W367" s="13">
        <v>213407.89543065208</v>
      </c>
      <c r="X367" s="13">
        <v>215407.89543065208</v>
      </c>
    </row>
    <row r="368" spans="1:24" x14ac:dyDescent="0.35">
      <c r="A368" s="34">
        <v>341</v>
      </c>
      <c r="B368" s="2">
        <v>0.98911015196187613</v>
      </c>
      <c r="C368" s="91">
        <f t="shared" si="12"/>
        <v>52.941881083124784</v>
      </c>
      <c r="D368" s="13">
        <v>198825.64324937435</v>
      </c>
      <c r="E368" s="13">
        <v>200825.64324937435</v>
      </c>
      <c r="F368" s="13">
        <v>202825.64324937435</v>
      </c>
      <c r="G368" s="13">
        <v>204825.64324937435</v>
      </c>
      <c r="H368" s="13">
        <v>206825.64324937435</v>
      </c>
      <c r="I368" s="13">
        <v>208825.64324937435</v>
      </c>
      <c r="J368" s="13">
        <v>210825.64324937435</v>
      </c>
      <c r="K368" s="13">
        <v>212825.64324937435</v>
      </c>
      <c r="L368" s="13">
        <v>214825.64324937435</v>
      </c>
      <c r="M368" s="13">
        <v>216825.64324937435</v>
      </c>
      <c r="N368" s="13">
        <v>218825.64324937435</v>
      </c>
      <c r="O368" s="13">
        <v>220825.64324937435</v>
      </c>
      <c r="P368" s="13">
        <v>222825.64324937435</v>
      </c>
      <c r="Q368" s="13">
        <v>224825.64324937435</v>
      </c>
      <c r="R368" s="13">
        <v>226825.64324937435</v>
      </c>
      <c r="S368" s="13">
        <v>228825.64324937435</v>
      </c>
      <c r="T368" s="13">
        <v>230825.64324937435</v>
      </c>
      <c r="U368" s="13">
        <v>232825.64324937435</v>
      </c>
      <c r="V368" s="13">
        <v>234825.64324937435</v>
      </c>
      <c r="W368" s="13">
        <v>236825.64324937435</v>
      </c>
      <c r="X368" s="13">
        <v>238825.64324937435</v>
      </c>
    </row>
    <row r="369" spans="1:24" x14ac:dyDescent="0.35">
      <c r="A369" s="34">
        <v>342</v>
      </c>
      <c r="B369" s="2">
        <v>0.81746256837808984</v>
      </c>
      <c r="C369" s="91">
        <f t="shared" si="12"/>
        <v>39.057373973492112</v>
      </c>
      <c r="D369" s="13">
        <v>157172.12192047643</v>
      </c>
      <c r="E369" s="13">
        <v>159172.12192047643</v>
      </c>
      <c r="F369" s="13">
        <v>161172.12192047643</v>
      </c>
      <c r="G369" s="13">
        <v>163172.12192047643</v>
      </c>
      <c r="H369" s="13">
        <v>165172.12192047643</v>
      </c>
      <c r="I369" s="13">
        <v>167172.12192047643</v>
      </c>
      <c r="J369" s="13">
        <v>169172.12192047643</v>
      </c>
      <c r="K369" s="13">
        <v>171172.12192047643</v>
      </c>
      <c r="L369" s="13">
        <v>173172.12192047643</v>
      </c>
      <c r="M369" s="13">
        <v>175172.12192047643</v>
      </c>
      <c r="N369" s="13">
        <v>177172.12192047643</v>
      </c>
      <c r="O369" s="13">
        <v>179172.12192047643</v>
      </c>
      <c r="P369" s="13">
        <v>181172.12192047643</v>
      </c>
      <c r="Q369" s="13">
        <v>183172.12192047643</v>
      </c>
      <c r="R369" s="13">
        <v>185172.12192047643</v>
      </c>
      <c r="S369" s="13">
        <v>187172.12192047643</v>
      </c>
      <c r="T369" s="13">
        <v>189172.12192047643</v>
      </c>
      <c r="U369" s="13">
        <v>191172.12192047643</v>
      </c>
      <c r="V369" s="13">
        <v>193172.12192047643</v>
      </c>
      <c r="W369" s="13">
        <v>195172.12192047643</v>
      </c>
      <c r="X369" s="13">
        <v>192458.99178793689</v>
      </c>
    </row>
    <row r="370" spans="1:24" x14ac:dyDescent="0.35">
      <c r="A370" s="34">
        <v>343</v>
      </c>
      <c r="B370" s="2">
        <v>0.14796752957835602</v>
      </c>
      <c r="C370" s="91">
        <f t="shared" si="12"/>
        <v>19.548097724516712</v>
      </c>
      <c r="D370" s="13">
        <v>96384.78179613367</v>
      </c>
      <c r="E370" s="13">
        <v>93384.78179613367</v>
      </c>
      <c r="F370" s="13">
        <v>90384.781796133611</v>
      </c>
      <c r="G370" s="13">
        <v>87384.781796133611</v>
      </c>
      <c r="H370" s="13">
        <v>84384.781796133611</v>
      </c>
      <c r="I370" s="13">
        <v>81384.781796133611</v>
      </c>
      <c r="J370" s="13">
        <v>78384.781796133611</v>
      </c>
      <c r="K370" s="13">
        <v>75384.781796133611</v>
      </c>
      <c r="L370" s="13">
        <v>72384.781796133611</v>
      </c>
      <c r="M370" s="13">
        <v>69384.781796133611</v>
      </c>
      <c r="N370" s="13">
        <v>66384.781796133611</v>
      </c>
      <c r="O370" s="13">
        <v>63384.781796133611</v>
      </c>
      <c r="P370" s="13">
        <v>60384.781796133611</v>
      </c>
      <c r="Q370" s="13">
        <v>57384.781796133611</v>
      </c>
      <c r="R370" s="13">
        <v>54384.781796133611</v>
      </c>
      <c r="S370" s="13">
        <v>51384.781796133611</v>
      </c>
      <c r="T370" s="13">
        <v>48384.781796133611</v>
      </c>
      <c r="U370" s="13">
        <v>45384.781796133611</v>
      </c>
      <c r="V370" s="13">
        <v>42384.781796133611</v>
      </c>
      <c r="W370" s="13">
        <v>39384.781796133611</v>
      </c>
      <c r="X370" s="13">
        <v>36384.781796133611</v>
      </c>
    </row>
    <row r="371" spans="1:24" x14ac:dyDescent="0.35">
      <c r="A371" s="34">
        <v>344</v>
      </c>
      <c r="B371" s="2">
        <v>0.39243395773827217</v>
      </c>
      <c r="C371" s="91">
        <f t="shared" si="12"/>
        <v>27.270191230442215</v>
      </c>
      <c r="D371" s="13">
        <v>121810.57369132666</v>
      </c>
      <c r="E371" s="13">
        <v>123810.57369132666</v>
      </c>
      <c r="F371" s="13">
        <v>125810.57369132666</v>
      </c>
      <c r="G371" s="13">
        <v>127810.57369132666</v>
      </c>
      <c r="H371" s="13">
        <v>129810.57369132666</v>
      </c>
      <c r="I371" s="13">
        <v>131810.57369132666</v>
      </c>
      <c r="J371" s="13">
        <v>133810.57369132666</v>
      </c>
      <c r="K371" s="13">
        <v>135810.57369132666</v>
      </c>
      <c r="L371" s="13">
        <v>134161.52984353772</v>
      </c>
      <c r="M371" s="13">
        <v>131161.52984353772</v>
      </c>
      <c r="N371" s="13">
        <v>128161.52984353772</v>
      </c>
      <c r="O371" s="13">
        <v>125161.52984353772</v>
      </c>
      <c r="P371" s="13">
        <v>122161.52984353772</v>
      </c>
      <c r="Q371" s="13">
        <v>119161.52984353772</v>
      </c>
      <c r="R371" s="13">
        <v>116161.52984353772</v>
      </c>
      <c r="S371" s="13">
        <v>113161.52984353772</v>
      </c>
      <c r="T371" s="13">
        <v>110161.52984353772</v>
      </c>
      <c r="U371" s="13">
        <v>107161.52984353772</v>
      </c>
      <c r="V371" s="13">
        <v>104161.52984353772</v>
      </c>
      <c r="W371" s="13">
        <v>101161.52984353772</v>
      </c>
      <c r="X371" s="13">
        <v>98161.529843537719</v>
      </c>
    </row>
    <row r="372" spans="1:24" x14ac:dyDescent="0.35">
      <c r="A372" s="34">
        <v>345</v>
      </c>
      <c r="B372" s="2">
        <v>0.31789632072312501</v>
      </c>
      <c r="C372" s="91">
        <f t="shared" si="12"/>
        <v>25.264104676832343</v>
      </c>
      <c r="D372" s="13">
        <v>115792.31403049704</v>
      </c>
      <c r="E372" s="13">
        <v>117792.31403049704</v>
      </c>
      <c r="F372" s="13">
        <v>119792.31403049704</v>
      </c>
      <c r="G372" s="13">
        <v>121792.31403049704</v>
      </c>
      <c r="H372" s="13">
        <v>123792.31403049704</v>
      </c>
      <c r="I372" s="13">
        <v>125792.31403049704</v>
      </c>
      <c r="J372" s="13">
        <v>124112.83741465874</v>
      </c>
      <c r="K372" s="13">
        <v>121112.83741465874</v>
      </c>
      <c r="L372" s="13">
        <v>118112.83741465874</v>
      </c>
      <c r="M372" s="13">
        <v>115112.83741465874</v>
      </c>
      <c r="N372" s="13">
        <v>112112.83741465874</v>
      </c>
      <c r="O372" s="13">
        <v>109112.83741465874</v>
      </c>
      <c r="P372" s="13">
        <v>106112.83741465874</v>
      </c>
      <c r="Q372" s="13">
        <v>103112.83741465874</v>
      </c>
      <c r="R372" s="13">
        <v>100112.83741465874</v>
      </c>
      <c r="S372" s="13">
        <v>97112.837414658745</v>
      </c>
      <c r="T372" s="13">
        <v>94112.837414658745</v>
      </c>
      <c r="U372" s="13">
        <v>91112.837414658745</v>
      </c>
      <c r="V372" s="13">
        <v>88112.837414658745</v>
      </c>
      <c r="W372" s="13">
        <v>85112.837414658745</v>
      </c>
      <c r="X372" s="13">
        <v>82112.837414658745</v>
      </c>
    </row>
    <row r="373" spans="1:24" x14ac:dyDescent="0.35">
      <c r="A373" s="34">
        <v>346</v>
      </c>
      <c r="B373" s="2">
        <v>8.3602731433916722E-2</v>
      </c>
      <c r="C373" s="91">
        <f t="shared" si="12"/>
        <v>16.187609214184373</v>
      </c>
      <c r="D373" s="13">
        <v>69500.873713474954</v>
      </c>
      <c r="E373" s="13">
        <v>66500.873713474954</v>
      </c>
      <c r="F373" s="13">
        <v>63500.873713474954</v>
      </c>
      <c r="G373" s="13">
        <v>60500.873713474954</v>
      </c>
      <c r="H373" s="13">
        <v>57500.873713474954</v>
      </c>
      <c r="I373" s="13">
        <v>54500.873713474954</v>
      </c>
      <c r="J373" s="13">
        <v>51500.873713474954</v>
      </c>
      <c r="K373" s="13">
        <v>48500.873713474954</v>
      </c>
      <c r="L373" s="13">
        <v>45500.873713474954</v>
      </c>
      <c r="M373" s="13">
        <v>42500.873713474954</v>
      </c>
      <c r="N373" s="13">
        <v>39500.873713474954</v>
      </c>
      <c r="O373" s="13">
        <v>36500.873713474954</v>
      </c>
      <c r="P373" s="13">
        <v>33500.873713474954</v>
      </c>
      <c r="Q373" s="13">
        <v>30500.873713474954</v>
      </c>
      <c r="R373" s="13">
        <v>27500.873713474954</v>
      </c>
      <c r="S373" s="13">
        <v>24500.873713474954</v>
      </c>
      <c r="T373" s="13">
        <v>21500.873713474954</v>
      </c>
      <c r="U373" s="13">
        <v>18500.873713474954</v>
      </c>
      <c r="V373" s="13">
        <v>15500.873713474954</v>
      </c>
      <c r="W373" s="13">
        <v>12500.873713474954</v>
      </c>
      <c r="X373" s="13">
        <v>9500.8737134749535</v>
      </c>
    </row>
    <row r="374" spans="1:24" x14ac:dyDescent="0.35">
      <c r="A374" s="34">
        <v>347</v>
      </c>
      <c r="B374" s="2">
        <v>0.8978504980483244</v>
      </c>
      <c r="C374" s="91">
        <f t="shared" si="12"/>
        <v>42.69398407454338</v>
      </c>
      <c r="D374" s="13">
        <v>168081.95222363016</v>
      </c>
      <c r="E374" s="13">
        <v>170081.95222363016</v>
      </c>
      <c r="F374" s="13">
        <v>172081.95222363016</v>
      </c>
      <c r="G374" s="13">
        <v>174081.95222363016</v>
      </c>
      <c r="H374" s="13">
        <v>176081.95222363016</v>
      </c>
      <c r="I374" s="13">
        <v>178081.95222363016</v>
      </c>
      <c r="J374" s="13">
        <v>180081.95222363016</v>
      </c>
      <c r="K374" s="13">
        <v>182081.95222363016</v>
      </c>
      <c r="L374" s="13">
        <v>184081.95222363016</v>
      </c>
      <c r="M374" s="13">
        <v>186081.95222363016</v>
      </c>
      <c r="N374" s="13">
        <v>188081.95222363016</v>
      </c>
      <c r="O374" s="13">
        <v>190081.95222363016</v>
      </c>
      <c r="P374" s="13">
        <v>192081.95222363016</v>
      </c>
      <c r="Q374" s="13">
        <v>194081.95222363016</v>
      </c>
      <c r="R374" s="13">
        <v>196081.95222363016</v>
      </c>
      <c r="S374" s="13">
        <v>198081.95222363016</v>
      </c>
      <c r="T374" s="13">
        <v>200081.95222363016</v>
      </c>
      <c r="U374" s="13">
        <v>202081.95222363016</v>
      </c>
      <c r="V374" s="13">
        <v>204081.95222363016</v>
      </c>
      <c r="W374" s="13">
        <v>206081.95222363016</v>
      </c>
      <c r="X374" s="13">
        <v>208081.95222363016</v>
      </c>
    </row>
    <row r="375" spans="1:24" x14ac:dyDescent="0.35">
      <c r="A375" s="34">
        <v>348</v>
      </c>
      <c r="B375" s="2">
        <v>0.59909067389602155</v>
      </c>
      <c r="C375" s="91">
        <f t="shared" si="12"/>
        <v>32.509941239603279</v>
      </c>
      <c r="D375" s="13">
        <v>137529.82371880987</v>
      </c>
      <c r="E375" s="13">
        <v>139529.82371880987</v>
      </c>
      <c r="F375" s="13">
        <v>141529.82371880987</v>
      </c>
      <c r="G375" s="13">
        <v>143529.82371880987</v>
      </c>
      <c r="H375" s="13">
        <v>145529.82371880987</v>
      </c>
      <c r="I375" s="13">
        <v>147529.82371880987</v>
      </c>
      <c r="J375" s="13">
        <v>149529.82371880987</v>
      </c>
      <c r="K375" s="13">
        <v>151529.82371880987</v>
      </c>
      <c r="L375" s="13">
        <v>153529.82371880987</v>
      </c>
      <c r="M375" s="13">
        <v>155529.82371880987</v>
      </c>
      <c r="N375" s="13">
        <v>157529.82371880987</v>
      </c>
      <c r="O375" s="13">
        <v>159529.82371880987</v>
      </c>
      <c r="P375" s="13">
        <v>161529.82371880987</v>
      </c>
      <c r="Q375" s="13">
        <v>161079.52991682617</v>
      </c>
      <c r="R375" s="13">
        <v>158079.52991682617</v>
      </c>
      <c r="S375" s="13">
        <v>155079.52991682617</v>
      </c>
      <c r="T375" s="13">
        <v>152079.52991682617</v>
      </c>
      <c r="U375" s="13">
        <v>149079.52991682617</v>
      </c>
      <c r="V375" s="13">
        <v>146079.52991682617</v>
      </c>
      <c r="W375" s="13">
        <v>143079.52991682617</v>
      </c>
      <c r="X375" s="13">
        <v>140079.52991682617</v>
      </c>
    </row>
    <row r="376" spans="1:24" x14ac:dyDescent="0.35">
      <c r="A376" s="34">
        <v>349</v>
      </c>
      <c r="B376" s="2">
        <v>0.83294031940508195</v>
      </c>
      <c r="C376" s="91">
        <f t="shared" si="12"/>
        <v>39.658497675009528</v>
      </c>
      <c r="D376" s="13">
        <v>158975.49302502861</v>
      </c>
      <c r="E376" s="13">
        <v>160975.49302502861</v>
      </c>
      <c r="F376" s="13">
        <v>162975.49302502861</v>
      </c>
      <c r="G376" s="13">
        <v>164975.49302502861</v>
      </c>
      <c r="H376" s="13">
        <v>166975.49302502861</v>
      </c>
      <c r="I376" s="13">
        <v>168975.49302502861</v>
      </c>
      <c r="J376" s="13">
        <v>170975.49302502861</v>
      </c>
      <c r="K376" s="13">
        <v>172975.49302502861</v>
      </c>
      <c r="L376" s="13">
        <v>174975.49302502861</v>
      </c>
      <c r="M376" s="13">
        <v>176975.49302502861</v>
      </c>
      <c r="N376" s="13">
        <v>178975.49302502861</v>
      </c>
      <c r="O376" s="13">
        <v>180975.49302502861</v>
      </c>
      <c r="P376" s="13">
        <v>182975.49302502861</v>
      </c>
      <c r="Q376" s="13">
        <v>184975.49302502861</v>
      </c>
      <c r="R376" s="13">
        <v>186975.49302502861</v>
      </c>
      <c r="S376" s="13">
        <v>188975.49302502861</v>
      </c>
      <c r="T376" s="13">
        <v>190975.49302502861</v>
      </c>
      <c r="U376" s="13">
        <v>192975.49302502861</v>
      </c>
      <c r="V376" s="13">
        <v>194975.49302502861</v>
      </c>
      <c r="W376" s="13">
        <v>196975.49302502861</v>
      </c>
      <c r="X376" s="13">
        <v>197267.98140007618</v>
      </c>
    </row>
    <row r="377" spans="1:24" x14ac:dyDescent="0.35">
      <c r="A377" s="34">
        <v>350</v>
      </c>
      <c r="B377" s="2">
        <v>0.56304830842796039</v>
      </c>
      <c r="C377" s="91">
        <f t="shared" si="12"/>
        <v>31.587023544035553</v>
      </c>
      <c r="D377" s="13">
        <v>134761.07063210662</v>
      </c>
      <c r="E377" s="13">
        <v>136761.07063210662</v>
      </c>
      <c r="F377" s="13">
        <v>138761.07063210662</v>
      </c>
      <c r="G377" s="13">
        <v>140761.07063210662</v>
      </c>
      <c r="H377" s="13">
        <v>142761.07063210662</v>
      </c>
      <c r="I377" s="13">
        <v>144761.07063210662</v>
      </c>
      <c r="J377" s="13">
        <v>146761.07063210662</v>
      </c>
      <c r="K377" s="13">
        <v>148761.07063210662</v>
      </c>
      <c r="L377" s="13">
        <v>150761.07063210662</v>
      </c>
      <c r="M377" s="13">
        <v>152761.07063210662</v>
      </c>
      <c r="N377" s="13">
        <v>154761.07063210662</v>
      </c>
      <c r="O377" s="13">
        <v>156761.07063210674</v>
      </c>
      <c r="P377" s="13">
        <v>156696.18835228449</v>
      </c>
      <c r="Q377" s="13">
        <v>153696.18835228449</v>
      </c>
      <c r="R377" s="13">
        <v>150696.18835228449</v>
      </c>
      <c r="S377" s="13">
        <v>147696.18835228449</v>
      </c>
      <c r="T377" s="13">
        <v>144696.18835228449</v>
      </c>
      <c r="U377" s="13">
        <v>141696.18835228449</v>
      </c>
      <c r="V377" s="13">
        <v>138696.18835228449</v>
      </c>
      <c r="W377" s="13">
        <v>135696.18835228449</v>
      </c>
      <c r="X377" s="13">
        <v>132696.18835228449</v>
      </c>
    </row>
    <row r="378" spans="1:24" x14ac:dyDescent="0.35">
      <c r="A378" s="34">
        <v>351</v>
      </c>
      <c r="B378" s="2">
        <v>0.92496435579135838</v>
      </c>
      <c r="C378" s="91">
        <f t="shared" si="12"/>
        <v>44.392797126530162</v>
      </c>
      <c r="D378" s="13">
        <v>173178.39137959061</v>
      </c>
      <c r="E378" s="13">
        <v>175178.39137959061</v>
      </c>
      <c r="F378" s="13">
        <v>177178.39137959061</v>
      </c>
      <c r="G378" s="13">
        <v>179178.39137959061</v>
      </c>
      <c r="H378" s="13">
        <v>181178.39137959061</v>
      </c>
      <c r="I378" s="13">
        <v>183178.39137959061</v>
      </c>
      <c r="J378" s="13">
        <v>185178.39137959061</v>
      </c>
      <c r="K378" s="13">
        <v>187178.39137959061</v>
      </c>
      <c r="L378" s="13">
        <v>189178.39137959061</v>
      </c>
      <c r="M378" s="13">
        <v>191178.39137959061</v>
      </c>
      <c r="N378" s="13">
        <v>193178.39137959061</v>
      </c>
      <c r="O378" s="13">
        <v>195178.39137959061</v>
      </c>
      <c r="P378" s="13">
        <v>197178.39137959061</v>
      </c>
      <c r="Q378" s="13">
        <v>199178.39137959061</v>
      </c>
      <c r="R378" s="13">
        <v>201178.39137959061</v>
      </c>
      <c r="S378" s="13">
        <v>203178.39137959061</v>
      </c>
      <c r="T378" s="13">
        <v>205178.39137959061</v>
      </c>
      <c r="U378" s="13">
        <v>207178.39137959061</v>
      </c>
      <c r="V378" s="13">
        <v>209178.39137959061</v>
      </c>
      <c r="W378" s="13">
        <v>211178.39137959061</v>
      </c>
      <c r="X378" s="13">
        <v>213178.39137959061</v>
      </c>
    </row>
    <row r="379" spans="1:24" x14ac:dyDescent="0.35">
      <c r="A379" s="34">
        <v>352</v>
      </c>
      <c r="B379" s="2">
        <v>0.12449746441291532</v>
      </c>
      <c r="C379" s="91">
        <f t="shared" si="12"/>
        <v>18.472059540456691</v>
      </c>
      <c r="D379" s="13">
        <v>87776.476323653536</v>
      </c>
      <c r="E379" s="13">
        <v>84776.476323653536</v>
      </c>
      <c r="F379" s="13">
        <v>81776.476323653536</v>
      </c>
      <c r="G379" s="13">
        <v>78776.476323653595</v>
      </c>
      <c r="H379" s="13">
        <v>75776.476323653595</v>
      </c>
      <c r="I379" s="13">
        <v>72776.476323653595</v>
      </c>
      <c r="J379" s="13">
        <v>69776.476323653595</v>
      </c>
      <c r="K379" s="13">
        <v>66776.476323653595</v>
      </c>
      <c r="L379" s="13">
        <v>63776.476323653595</v>
      </c>
      <c r="M379" s="13">
        <v>60776.476323653595</v>
      </c>
      <c r="N379" s="13">
        <v>57776.476323653595</v>
      </c>
      <c r="O379" s="13">
        <v>54776.476323653595</v>
      </c>
      <c r="P379" s="13">
        <v>51776.476323653595</v>
      </c>
      <c r="Q379" s="13">
        <v>48776.476323653595</v>
      </c>
      <c r="R379" s="13">
        <v>45776.476323653478</v>
      </c>
      <c r="S379" s="13">
        <v>42776.476323653478</v>
      </c>
      <c r="T379" s="13">
        <v>39776.476323653478</v>
      </c>
      <c r="U379" s="13">
        <v>36776.476323653478</v>
      </c>
      <c r="V379" s="13">
        <v>33776.476323653478</v>
      </c>
      <c r="W379" s="13">
        <v>30776.476323653478</v>
      </c>
      <c r="X379" s="13">
        <v>27776.476323653478</v>
      </c>
    </row>
    <row r="380" spans="1:24" x14ac:dyDescent="0.35">
      <c r="A380" s="34">
        <v>353</v>
      </c>
      <c r="B380" s="2">
        <v>0.89037350441756102</v>
      </c>
      <c r="C380" s="91">
        <f t="shared" si="12"/>
        <v>42.285168948068822</v>
      </c>
      <c r="D380" s="13">
        <v>166855.50684420648</v>
      </c>
      <c r="E380" s="13">
        <v>168855.50684420648</v>
      </c>
      <c r="F380" s="13">
        <v>170855.50684420648</v>
      </c>
      <c r="G380" s="13">
        <v>172855.50684420648</v>
      </c>
      <c r="H380" s="13">
        <v>174855.50684420648</v>
      </c>
      <c r="I380" s="13">
        <v>176855.50684420648</v>
      </c>
      <c r="J380" s="13">
        <v>178855.50684420648</v>
      </c>
      <c r="K380" s="13">
        <v>180855.50684420648</v>
      </c>
      <c r="L380" s="13">
        <v>182855.50684420648</v>
      </c>
      <c r="M380" s="13">
        <v>184855.50684420648</v>
      </c>
      <c r="N380" s="13">
        <v>186855.50684420648</v>
      </c>
      <c r="O380" s="13">
        <v>188855.50684420648</v>
      </c>
      <c r="P380" s="13">
        <v>190855.50684420648</v>
      </c>
      <c r="Q380" s="13">
        <v>192855.50684420648</v>
      </c>
      <c r="R380" s="13">
        <v>194855.50684420648</v>
      </c>
      <c r="S380" s="13">
        <v>196855.50684420648</v>
      </c>
      <c r="T380" s="13">
        <v>198855.50684420648</v>
      </c>
      <c r="U380" s="13">
        <v>200855.50684420648</v>
      </c>
      <c r="V380" s="13">
        <v>202855.50684420648</v>
      </c>
      <c r="W380" s="13">
        <v>204855.50684420648</v>
      </c>
      <c r="X380" s="13">
        <v>206855.50684420648</v>
      </c>
    </row>
    <row r="381" spans="1:24" x14ac:dyDescent="0.35">
      <c r="A381" s="34">
        <v>354</v>
      </c>
      <c r="B381" s="2">
        <v>0.95553030238933334</v>
      </c>
      <c r="C381" s="91">
        <f t="shared" si="12"/>
        <v>47.010191290395937</v>
      </c>
      <c r="D381" s="13">
        <v>181030.57387118763</v>
      </c>
      <c r="E381" s="13">
        <v>183030.57387118763</v>
      </c>
      <c r="F381" s="13">
        <v>185030.57387118763</v>
      </c>
      <c r="G381" s="13">
        <v>187030.57387118763</v>
      </c>
      <c r="H381" s="13">
        <v>189030.57387118763</v>
      </c>
      <c r="I381" s="13">
        <v>191030.57387118763</v>
      </c>
      <c r="J381" s="13">
        <v>193030.57387118763</v>
      </c>
      <c r="K381" s="13">
        <v>195030.57387118787</v>
      </c>
      <c r="L381" s="13">
        <v>197030.57387118787</v>
      </c>
      <c r="M381" s="13">
        <v>199030.57387118787</v>
      </c>
      <c r="N381" s="13">
        <v>201030.57387118787</v>
      </c>
      <c r="O381" s="13">
        <v>203030.57387118787</v>
      </c>
      <c r="P381" s="13">
        <v>205030.57387118787</v>
      </c>
      <c r="Q381" s="13">
        <v>207030.57387118787</v>
      </c>
      <c r="R381" s="13">
        <v>209030.57387118787</v>
      </c>
      <c r="S381" s="13">
        <v>211030.57387118787</v>
      </c>
      <c r="T381" s="13">
        <v>213030.57387118787</v>
      </c>
      <c r="U381" s="13">
        <v>215030.57387118787</v>
      </c>
      <c r="V381" s="13">
        <v>217030.57387118787</v>
      </c>
      <c r="W381" s="13">
        <v>219030.57387118787</v>
      </c>
      <c r="X381" s="13">
        <v>221030.57387118787</v>
      </c>
    </row>
    <row r="382" spans="1:24" x14ac:dyDescent="0.35">
      <c r="A382" s="34">
        <v>355</v>
      </c>
      <c r="B382" s="2">
        <v>0.40013991698313134</v>
      </c>
      <c r="C382" s="91">
        <f t="shared" si="12"/>
        <v>27.470150381135962</v>
      </c>
      <c r="D382" s="13">
        <v>122410.45114340796</v>
      </c>
      <c r="E382" s="13">
        <v>124410.45114340796</v>
      </c>
      <c r="F382" s="13">
        <v>126410.45114340796</v>
      </c>
      <c r="G382" s="13">
        <v>128410.45114340796</v>
      </c>
      <c r="H382" s="13">
        <v>130410.45114340796</v>
      </c>
      <c r="I382" s="13">
        <v>132410.45114340796</v>
      </c>
      <c r="J382" s="13">
        <v>134410.45114340796</v>
      </c>
      <c r="K382" s="13">
        <v>136410.45114340796</v>
      </c>
      <c r="L382" s="13">
        <v>135761.20304908778</v>
      </c>
      <c r="M382" s="13">
        <v>132761.20304908778</v>
      </c>
      <c r="N382" s="13">
        <v>129761.20304908778</v>
      </c>
      <c r="O382" s="13">
        <v>126761.20304908778</v>
      </c>
      <c r="P382" s="13">
        <v>123761.20304908778</v>
      </c>
      <c r="Q382" s="13">
        <v>120761.20304908778</v>
      </c>
      <c r="R382" s="13">
        <v>117761.20304908778</v>
      </c>
      <c r="S382" s="13">
        <v>114761.20304908778</v>
      </c>
      <c r="T382" s="13">
        <v>111761.20304908778</v>
      </c>
      <c r="U382" s="13">
        <v>108761.20304908778</v>
      </c>
      <c r="V382" s="13">
        <v>105761.20304908778</v>
      </c>
      <c r="W382" s="13">
        <v>102761.20304908778</v>
      </c>
      <c r="X382" s="13">
        <v>99761.203049087781</v>
      </c>
    </row>
    <row r="383" spans="1:24" x14ac:dyDescent="0.35">
      <c r="A383" s="34">
        <v>356</v>
      </c>
      <c r="B383" s="2">
        <v>0.49182963847856531</v>
      </c>
      <c r="C383" s="91">
        <f t="shared" si="12"/>
        <v>29.795185089180244</v>
      </c>
      <c r="D383" s="13">
        <v>129385.55526754074</v>
      </c>
      <c r="E383" s="13">
        <v>131385.55526754074</v>
      </c>
      <c r="F383" s="13">
        <v>133385.55526754074</v>
      </c>
      <c r="G383" s="13">
        <v>135385.55526754074</v>
      </c>
      <c r="H383" s="13">
        <v>137385.55526754074</v>
      </c>
      <c r="I383" s="13">
        <v>139385.55526754074</v>
      </c>
      <c r="J383" s="13">
        <v>141385.55526754074</v>
      </c>
      <c r="K383" s="13">
        <v>143385.55526754074</v>
      </c>
      <c r="L383" s="13">
        <v>145385.55526754074</v>
      </c>
      <c r="M383" s="13">
        <v>147385.55526754074</v>
      </c>
      <c r="N383" s="13">
        <v>148361.48071344185</v>
      </c>
      <c r="O383" s="13">
        <v>145361.48071344185</v>
      </c>
      <c r="P383" s="13">
        <v>142361.48071344185</v>
      </c>
      <c r="Q383" s="13">
        <v>139361.48071344185</v>
      </c>
      <c r="R383" s="13">
        <v>136361.48071344185</v>
      </c>
      <c r="S383" s="13">
        <v>133361.48071344185</v>
      </c>
      <c r="T383" s="13">
        <v>130361.48071344185</v>
      </c>
      <c r="U383" s="13">
        <v>127361.48071344185</v>
      </c>
      <c r="V383" s="13">
        <v>124361.48071344185</v>
      </c>
      <c r="W383" s="13">
        <v>121361.48071344185</v>
      </c>
      <c r="X383" s="13">
        <v>118361.48071344185</v>
      </c>
    </row>
    <row r="384" spans="1:24" x14ac:dyDescent="0.35">
      <c r="A384" s="34">
        <v>357</v>
      </c>
      <c r="B384" s="2">
        <v>0.86470016473750222</v>
      </c>
      <c r="C384" s="91">
        <f t="shared" si="12"/>
        <v>41.01682631263337</v>
      </c>
      <c r="D384" s="13">
        <v>163050.47893790016</v>
      </c>
      <c r="E384" s="13">
        <v>165050.47893790016</v>
      </c>
      <c r="F384" s="13">
        <v>167050.47893790016</v>
      </c>
      <c r="G384" s="13">
        <v>169050.47893790016</v>
      </c>
      <c r="H384" s="13">
        <v>171050.47893790016</v>
      </c>
      <c r="I384" s="13">
        <v>173050.47893790016</v>
      </c>
      <c r="J384" s="13">
        <v>175050.47893790016</v>
      </c>
      <c r="K384" s="13">
        <v>177050.47893790016</v>
      </c>
      <c r="L384" s="13">
        <v>179050.47893790016</v>
      </c>
      <c r="M384" s="13">
        <v>181050.47893790016</v>
      </c>
      <c r="N384" s="13">
        <v>183050.47893790016</v>
      </c>
      <c r="O384" s="13">
        <v>185050.47893790016</v>
      </c>
      <c r="P384" s="13">
        <v>187050.47893790016</v>
      </c>
      <c r="Q384" s="13">
        <v>189050.47893790016</v>
      </c>
      <c r="R384" s="13">
        <v>191050.47893790016</v>
      </c>
      <c r="S384" s="13">
        <v>193050.47893790016</v>
      </c>
      <c r="T384" s="13">
        <v>195050.47893790016</v>
      </c>
      <c r="U384" s="13">
        <v>197050.47893790016</v>
      </c>
      <c r="V384" s="13">
        <v>199050.47893790016</v>
      </c>
      <c r="W384" s="13">
        <v>201050.47893790016</v>
      </c>
      <c r="X384" s="13">
        <v>203050.47893790016</v>
      </c>
    </row>
    <row r="385" spans="1:24" x14ac:dyDescent="0.35">
      <c r="A385" s="34">
        <v>358</v>
      </c>
      <c r="B385" s="2">
        <v>0.63667461079675558</v>
      </c>
      <c r="C385" s="91">
        <f t="shared" si="12"/>
        <v>33.495841890928276</v>
      </c>
      <c r="D385" s="13">
        <v>140487.52567278489</v>
      </c>
      <c r="E385" s="13">
        <v>142487.52567278489</v>
      </c>
      <c r="F385" s="13">
        <v>144487.52567278477</v>
      </c>
      <c r="G385" s="13">
        <v>146487.52567278477</v>
      </c>
      <c r="H385" s="13">
        <v>148487.52567278477</v>
      </c>
      <c r="I385" s="13">
        <v>150487.52567278477</v>
      </c>
      <c r="J385" s="13">
        <v>152487.52567278477</v>
      </c>
      <c r="K385" s="13">
        <v>154487.52567278477</v>
      </c>
      <c r="L385" s="13">
        <v>156487.52567278477</v>
      </c>
      <c r="M385" s="13">
        <v>158487.52567278477</v>
      </c>
      <c r="N385" s="13">
        <v>160487.52567278477</v>
      </c>
      <c r="O385" s="13">
        <v>162487.52567278477</v>
      </c>
      <c r="P385" s="13">
        <v>164487.52567278477</v>
      </c>
      <c r="Q385" s="13">
        <v>166487.52567278477</v>
      </c>
      <c r="R385" s="13">
        <v>165966.73512742622</v>
      </c>
      <c r="S385" s="13">
        <v>162966.73512742622</v>
      </c>
      <c r="T385" s="13">
        <v>159966.73512742622</v>
      </c>
      <c r="U385" s="13">
        <v>156966.73512742622</v>
      </c>
      <c r="V385" s="13">
        <v>153966.73512742622</v>
      </c>
      <c r="W385" s="13">
        <v>150966.73512742622</v>
      </c>
      <c r="X385" s="13">
        <v>147966.73512742622</v>
      </c>
    </row>
    <row r="386" spans="1:24" x14ac:dyDescent="0.35">
      <c r="A386" s="34">
        <v>359</v>
      </c>
      <c r="B386" s="2">
        <v>0.57143603772242102</v>
      </c>
      <c r="C386" s="91">
        <f t="shared" si="12"/>
        <v>31.800313907466368</v>
      </c>
      <c r="D386" s="13">
        <v>135400.94172239909</v>
      </c>
      <c r="E386" s="13">
        <v>137400.94172239909</v>
      </c>
      <c r="F386" s="13">
        <v>139400.94172239909</v>
      </c>
      <c r="G386" s="13">
        <v>141400.94172239909</v>
      </c>
      <c r="H386" s="13">
        <v>143400.94172239909</v>
      </c>
      <c r="I386" s="13">
        <v>145400.94172239909</v>
      </c>
      <c r="J386" s="13">
        <v>147400.94172239909</v>
      </c>
      <c r="K386" s="13">
        <v>149400.94172239909</v>
      </c>
      <c r="L386" s="13">
        <v>151400.94172239909</v>
      </c>
      <c r="M386" s="13">
        <v>153400.94172239909</v>
      </c>
      <c r="N386" s="13">
        <v>155400.94172239909</v>
      </c>
      <c r="O386" s="13">
        <v>157400.94172239909</v>
      </c>
      <c r="P386" s="13">
        <v>158402.51125973091</v>
      </c>
      <c r="Q386" s="13">
        <v>155402.51125973091</v>
      </c>
      <c r="R386" s="13">
        <v>152402.51125973091</v>
      </c>
      <c r="S386" s="13">
        <v>149402.51125973091</v>
      </c>
      <c r="T386" s="13">
        <v>146402.51125973091</v>
      </c>
      <c r="U386" s="13">
        <v>143402.51125973091</v>
      </c>
      <c r="V386" s="13">
        <v>140402.51125973091</v>
      </c>
      <c r="W386" s="13">
        <v>137402.51125973091</v>
      </c>
      <c r="X386" s="13">
        <v>134402.51125973091</v>
      </c>
    </row>
    <row r="387" spans="1:24" x14ac:dyDescent="0.35">
      <c r="A387" s="34">
        <v>360</v>
      </c>
      <c r="B387" s="2">
        <v>0.19707394776709897</v>
      </c>
      <c r="C387" s="91">
        <f t="shared" si="12"/>
        <v>21.478807261555943</v>
      </c>
      <c r="D387" s="13">
        <v>104436.42178466788</v>
      </c>
      <c r="E387" s="13">
        <v>106436.42178466788</v>
      </c>
      <c r="F387" s="13">
        <v>105830.4580924476</v>
      </c>
      <c r="G387" s="13">
        <v>102830.4580924476</v>
      </c>
      <c r="H387" s="13">
        <v>99830.458092447603</v>
      </c>
      <c r="I387" s="13">
        <v>96830.458092447603</v>
      </c>
      <c r="J387" s="13">
        <v>93830.458092447603</v>
      </c>
      <c r="K387" s="13">
        <v>90830.458092447603</v>
      </c>
      <c r="L387" s="13">
        <v>87830.458092447603</v>
      </c>
      <c r="M387" s="13">
        <v>84830.458092447603</v>
      </c>
      <c r="N387" s="13">
        <v>81830.458092447603</v>
      </c>
      <c r="O387" s="13">
        <v>78830.458092447603</v>
      </c>
      <c r="P387" s="13">
        <v>75830.458092447603</v>
      </c>
      <c r="Q387" s="13">
        <v>72830.458092447603</v>
      </c>
      <c r="R387" s="13">
        <v>69830.458092447603</v>
      </c>
      <c r="S387" s="13">
        <v>66830.458092447603</v>
      </c>
      <c r="T387" s="13">
        <v>63830.458092447603</v>
      </c>
      <c r="U387" s="13">
        <v>60830.458092447603</v>
      </c>
      <c r="V387" s="13">
        <v>57830.458092447603</v>
      </c>
      <c r="W387" s="13">
        <v>54830.458092447603</v>
      </c>
      <c r="X387" s="13">
        <v>51830.458092447603</v>
      </c>
    </row>
    <row r="388" spans="1:24" x14ac:dyDescent="0.35">
      <c r="A388" s="34">
        <v>361</v>
      </c>
      <c r="B388" s="2">
        <v>0.39482624576594882</v>
      </c>
      <c r="C388" s="91">
        <f t="shared" si="12"/>
        <v>27.332381008424115</v>
      </c>
      <c r="D388" s="13">
        <v>121997.14302527241</v>
      </c>
      <c r="E388" s="13">
        <v>123997.14302527241</v>
      </c>
      <c r="F388" s="13">
        <v>125997.14302527241</v>
      </c>
      <c r="G388" s="13">
        <v>127997.14302527241</v>
      </c>
      <c r="H388" s="13">
        <v>129997.14302527241</v>
      </c>
      <c r="I388" s="13">
        <v>131997.14302527241</v>
      </c>
      <c r="J388" s="13">
        <v>133997.14302527241</v>
      </c>
      <c r="K388" s="13">
        <v>135997.14302527241</v>
      </c>
      <c r="L388" s="13">
        <v>134659.04806739301</v>
      </c>
      <c r="M388" s="13">
        <v>131659.04806739301</v>
      </c>
      <c r="N388" s="13">
        <v>128659.04806739301</v>
      </c>
      <c r="O388" s="13">
        <v>125659.04806739301</v>
      </c>
      <c r="P388" s="13">
        <v>122659.04806739301</v>
      </c>
      <c r="Q388" s="13">
        <v>119659.04806739301</v>
      </c>
      <c r="R388" s="13">
        <v>116659.04806739301</v>
      </c>
      <c r="S388" s="13">
        <v>113659.04806739301</v>
      </c>
      <c r="T388" s="13">
        <v>110659.04806739301</v>
      </c>
      <c r="U388" s="13">
        <v>107659.04806739301</v>
      </c>
      <c r="V388" s="13">
        <v>104659.04806739301</v>
      </c>
      <c r="W388" s="13">
        <v>101659.04806739301</v>
      </c>
      <c r="X388" s="13">
        <v>98659.048067393014</v>
      </c>
    </row>
    <row r="389" spans="1:24" x14ac:dyDescent="0.35">
      <c r="A389" s="34">
        <v>362</v>
      </c>
      <c r="B389" s="2">
        <v>0.20393624459098092</v>
      </c>
      <c r="C389" s="91">
        <f t="shared" si="12"/>
        <v>21.723566127270338</v>
      </c>
      <c r="D389" s="13">
        <v>105170.69838181103</v>
      </c>
      <c r="E389" s="13">
        <v>107170.69838181103</v>
      </c>
      <c r="F389" s="13">
        <v>107788.52901816275</v>
      </c>
      <c r="G389" s="13">
        <v>104788.52901816275</v>
      </c>
      <c r="H389" s="13">
        <v>101788.52901816275</v>
      </c>
      <c r="I389" s="13">
        <v>98788.52901816275</v>
      </c>
      <c r="J389" s="13">
        <v>95788.52901816275</v>
      </c>
      <c r="K389" s="13">
        <v>92788.52901816275</v>
      </c>
      <c r="L389" s="13">
        <v>89788.52901816275</v>
      </c>
      <c r="M389" s="13">
        <v>86788.52901816275</v>
      </c>
      <c r="N389" s="13">
        <v>83788.52901816275</v>
      </c>
      <c r="O389" s="13">
        <v>80788.52901816275</v>
      </c>
      <c r="P389" s="13">
        <v>77788.52901816275</v>
      </c>
      <c r="Q389" s="13">
        <v>74788.52901816275</v>
      </c>
      <c r="R389" s="13">
        <v>71788.52901816275</v>
      </c>
      <c r="S389" s="13">
        <v>68788.52901816275</v>
      </c>
      <c r="T389" s="13">
        <v>65788.52901816275</v>
      </c>
      <c r="U389" s="13">
        <v>62788.52901816275</v>
      </c>
      <c r="V389" s="13">
        <v>59788.52901816275</v>
      </c>
      <c r="W389" s="13">
        <v>56788.52901816275</v>
      </c>
      <c r="X389" s="13">
        <v>53788.52901816275</v>
      </c>
    </row>
    <row r="390" spans="1:24" x14ac:dyDescent="0.35">
      <c r="A390" s="34">
        <v>363</v>
      </c>
      <c r="B390" s="2">
        <v>0.82359806452213047</v>
      </c>
      <c r="C390" s="91">
        <f t="shared" si="12"/>
        <v>39.291644440056317</v>
      </c>
      <c r="D390" s="13">
        <v>157874.93332016899</v>
      </c>
      <c r="E390" s="13">
        <v>159874.93332016899</v>
      </c>
      <c r="F390" s="13">
        <v>161874.93332016899</v>
      </c>
      <c r="G390" s="13">
        <v>163874.93332016899</v>
      </c>
      <c r="H390" s="13">
        <v>165874.93332016899</v>
      </c>
      <c r="I390" s="13">
        <v>167874.93332016899</v>
      </c>
      <c r="J390" s="13">
        <v>169874.93332016899</v>
      </c>
      <c r="K390" s="13">
        <v>171874.93332016899</v>
      </c>
      <c r="L390" s="13">
        <v>173874.93332016899</v>
      </c>
      <c r="M390" s="13">
        <v>175874.93332016899</v>
      </c>
      <c r="N390" s="13">
        <v>177874.93332016899</v>
      </c>
      <c r="O390" s="13">
        <v>179874.93332016899</v>
      </c>
      <c r="P390" s="13">
        <v>181874.93332016899</v>
      </c>
      <c r="Q390" s="13">
        <v>183874.93332016899</v>
      </c>
      <c r="R390" s="13">
        <v>185874.93332016899</v>
      </c>
      <c r="S390" s="13">
        <v>187874.93332016899</v>
      </c>
      <c r="T390" s="13">
        <v>189874.93332016899</v>
      </c>
      <c r="U390" s="13">
        <v>191874.93332016899</v>
      </c>
      <c r="V390" s="13">
        <v>193874.93332016899</v>
      </c>
      <c r="W390" s="13">
        <v>195874.93332016899</v>
      </c>
      <c r="X390" s="13">
        <v>194333.15552045056</v>
      </c>
    </row>
    <row r="391" spans="1:24" x14ac:dyDescent="0.35">
      <c r="A391" s="34">
        <v>364</v>
      </c>
      <c r="B391" s="2">
        <v>0.23358297263224614</v>
      </c>
      <c r="C391" s="91">
        <f t="shared" si="12"/>
        <v>22.729020349585578</v>
      </c>
      <c r="D391" s="13">
        <v>108187.0610487567</v>
      </c>
      <c r="E391" s="13">
        <v>110187.0610487567</v>
      </c>
      <c r="F391" s="13">
        <v>112187.0610487567</v>
      </c>
      <c r="G391" s="13">
        <v>112832.16279668454</v>
      </c>
      <c r="H391" s="13">
        <v>109832.16279668454</v>
      </c>
      <c r="I391" s="13">
        <v>106832.16279668454</v>
      </c>
      <c r="J391" s="13">
        <v>103832.16279668454</v>
      </c>
      <c r="K391" s="13">
        <v>100832.16279668454</v>
      </c>
      <c r="L391" s="13">
        <v>97832.162796684541</v>
      </c>
      <c r="M391" s="13">
        <v>94832.162796684541</v>
      </c>
      <c r="N391" s="13">
        <v>91832.162796684541</v>
      </c>
      <c r="O391" s="13">
        <v>88832.162796684541</v>
      </c>
      <c r="P391" s="13">
        <v>85832.162796684541</v>
      </c>
      <c r="Q391" s="13">
        <v>82832.162796684541</v>
      </c>
      <c r="R391" s="13">
        <v>79832.162796684541</v>
      </c>
      <c r="S391" s="13">
        <v>76832.162796684541</v>
      </c>
      <c r="T391" s="13">
        <v>73832.162796684541</v>
      </c>
      <c r="U391" s="13">
        <v>70832.162796684541</v>
      </c>
      <c r="V391" s="13">
        <v>67832.162796684541</v>
      </c>
      <c r="W391" s="13">
        <v>64832.162796684541</v>
      </c>
      <c r="X391" s="13">
        <v>61832.162796684541</v>
      </c>
    </row>
    <row r="392" spans="1:24" x14ac:dyDescent="0.35">
      <c r="A392" s="34">
        <v>365</v>
      </c>
      <c r="B392" s="2">
        <v>0.10514804461980576</v>
      </c>
      <c r="C392" s="91">
        <f t="shared" si="12"/>
        <v>17.472483133433247</v>
      </c>
      <c r="D392" s="13">
        <v>79779.865067465988</v>
      </c>
      <c r="E392" s="13">
        <v>76779.865067465988</v>
      </c>
      <c r="F392" s="13">
        <v>73779.865067465988</v>
      </c>
      <c r="G392" s="13">
        <v>70779.865067465929</v>
      </c>
      <c r="H392" s="13">
        <v>67779.865067465929</v>
      </c>
      <c r="I392" s="13">
        <v>64779.865067465929</v>
      </c>
      <c r="J392" s="13">
        <v>61779.865067465929</v>
      </c>
      <c r="K392" s="13">
        <v>58779.865067465929</v>
      </c>
      <c r="L392" s="13">
        <v>55779.865067465929</v>
      </c>
      <c r="M392" s="13">
        <v>52779.865067465929</v>
      </c>
      <c r="N392" s="13">
        <v>49779.865067465929</v>
      </c>
      <c r="O392" s="13">
        <v>46779.865067465929</v>
      </c>
      <c r="P392" s="13">
        <v>43779.865067465929</v>
      </c>
      <c r="Q392" s="13">
        <v>40779.865067465929</v>
      </c>
      <c r="R392" s="13">
        <v>37779.865067465929</v>
      </c>
      <c r="S392" s="13">
        <v>34779.865067465929</v>
      </c>
      <c r="T392" s="13">
        <v>31779.865067465929</v>
      </c>
      <c r="U392" s="13">
        <v>28779.865067465929</v>
      </c>
      <c r="V392" s="13">
        <v>25779.865067465929</v>
      </c>
      <c r="W392" s="13">
        <v>22779.865067465929</v>
      </c>
      <c r="X392" s="13">
        <v>19779.865067465929</v>
      </c>
    </row>
    <row r="393" spans="1:24" x14ac:dyDescent="0.35">
      <c r="A393" s="34">
        <v>366</v>
      </c>
      <c r="B393" s="2">
        <v>0.67091724034567812</v>
      </c>
      <c r="C393" s="91">
        <f t="shared" si="12"/>
        <v>34.424473530348465</v>
      </c>
      <c r="D393" s="13">
        <v>143273.4205910454</v>
      </c>
      <c r="E393" s="13">
        <v>145273.4205910454</v>
      </c>
      <c r="F393" s="13">
        <v>147273.4205910454</v>
      </c>
      <c r="G393" s="13">
        <v>149273.4205910454</v>
      </c>
      <c r="H393" s="13">
        <v>151273.4205910454</v>
      </c>
      <c r="I393" s="13">
        <v>153273.4205910454</v>
      </c>
      <c r="J393" s="13">
        <v>155273.4205910454</v>
      </c>
      <c r="K393" s="13">
        <v>157273.4205910454</v>
      </c>
      <c r="L393" s="13">
        <v>159273.4205910454</v>
      </c>
      <c r="M393" s="13">
        <v>161273.4205910454</v>
      </c>
      <c r="N393" s="13">
        <v>163273.4205910454</v>
      </c>
      <c r="O393" s="13">
        <v>165273.4205910454</v>
      </c>
      <c r="P393" s="13">
        <v>167273.4205910454</v>
      </c>
      <c r="Q393" s="13">
        <v>169273.4205910454</v>
      </c>
      <c r="R393" s="13">
        <v>171273.4205910454</v>
      </c>
      <c r="S393" s="13">
        <v>170395.7882427877</v>
      </c>
      <c r="T393" s="13">
        <v>167395.7882427877</v>
      </c>
      <c r="U393" s="13">
        <v>164395.7882427877</v>
      </c>
      <c r="V393" s="13">
        <v>161395.7882427877</v>
      </c>
      <c r="W393" s="13">
        <v>158395.7882427877</v>
      </c>
      <c r="X393" s="13">
        <v>155395.7882427877</v>
      </c>
    </row>
    <row r="394" spans="1:24" x14ac:dyDescent="0.35">
      <c r="A394" s="34">
        <v>367</v>
      </c>
      <c r="B394" s="2">
        <v>0.98698986245740916</v>
      </c>
      <c r="C394" s="91">
        <f t="shared" si="12"/>
        <v>52.259090346925177</v>
      </c>
      <c r="D394" s="13">
        <v>196777.27104077558</v>
      </c>
      <c r="E394" s="13">
        <v>198777.27104077558</v>
      </c>
      <c r="F394" s="13">
        <v>200777.27104077558</v>
      </c>
      <c r="G394" s="13">
        <v>202777.27104077558</v>
      </c>
      <c r="H394" s="13">
        <v>204777.27104077558</v>
      </c>
      <c r="I394" s="13">
        <v>206777.27104077558</v>
      </c>
      <c r="J394" s="13">
        <v>208777.27104077558</v>
      </c>
      <c r="K394" s="13">
        <v>210777.27104077558</v>
      </c>
      <c r="L394" s="13">
        <v>212777.27104077558</v>
      </c>
      <c r="M394" s="13">
        <v>214777.27104077558</v>
      </c>
      <c r="N394" s="13">
        <v>216777.27104077558</v>
      </c>
      <c r="O394" s="13">
        <v>218777.27104077558</v>
      </c>
      <c r="P394" s="13">
        <v>220777.27104077558</v>
      </c>
      <c r="Q394" s="13">
        <v>222777.27104077558</v>
      </c>
      <c r="R394" s="13">
        <v>224777.27104077558</v>
      </c>
      <c r="S394" s="13">
        <v>226777.27104077558</v>
      </c>
      <c r="T394" s="13">
        <v>228777.27104077558</v>
      </c>
      <c r="U394" s="13">
        <v>230777.27104077558</v>
      </c>
      <c r="V394" s="13">
        <v>232777.27104077558</v>
      </c>
      <c r="W394" s="13">
        <v>234777.27104077558</v>
      </c>
      <c r="X394" s="13">
        <v>236777.27104077558</v>
      </c>
    </row>
    <row r="395" spans="1:24" x14ac:dyDescent="0.35">
      <c r="A395" s="34">
        <v>368</v>
      </c>
      <c r="B395" s="2">
        <v>0.50555560765502072</v>
      </c>
      <c r="C395" s="91">
        <f t="shared" si="12"/>
        <v>30.139262933657815</v>
      </c>
      <c r="D395" s="13">
        <v>130417.78880097345</v>
      </c>
      <c r="E395" s="13">
        <v>132417.78880097345</v>
      </c>
      <c r="F395" s="13">
        <v>134417.78880097345</v>
      </c>
      <c r="G395" s="13">
        <v>136417.78880097345</v>
      </c>
      <c r="H395" s="13">
        <v>138417.78880097345</v>
      </c>
      <c r="I395" s="13">
        <v>140417.78880097345</v>
      </c>
      <c r="J395" s="13">
        <v>142417.78880097345</v>
      </c>
      <c r="K395" s="13">
        <v>144417.78880097345</v>
      </c>
      <c r="L395" s="13">
        <v>146417.78880097345</v>
      </c>
      <c r="M395" s="13">
        <v>148417.78880097345</v>
      </c>
      <c r="N395" s="13">
        <v>150417.78880097345</v>
      </c>
      <c r="O395" s="13">
        <v>148114.1034692626</v>
      </c>
      <c r="P395" s="13">
        <v>145114.1034692626</v>
      </c>
      <c r="Q395" s="13">
        <v>142114.1034692626</v>
      </c>
      <c r="R395" s="13">
        <v>139114.1034692626</v>
      </c>
      <c r="S395" s="13">
        <v>136114.1034692626</v>
      </c>
      <c r="T395" s="13">
        <v>133114.1034692626</v>
      </c>
      <c r="U395" s="13">
        <v>130114.1034692626</v>
      </c>
      <c r="V395" s="13">
        <v>127114.1034692626</v>
      </c>
      <c r="W395" s="13">
        <v>124114.1034692626</v>
      </c>
      <c r="X395" s="13">
        <v>121114.1034692626</v>
      </c>
    </row>
    <row r="396" spans="1:24" x14ac:dyDescent="0.35">
      <c r="A396" s="34">
        <v>369</v>
      </c>
      <c r="B396" s="2">
        <v>0.32945555686325312</v>
      </c>
      <c r="C396" s="91">
        <f t="shared" si="12"/>
        <v>25.585829674635548</v>
      </c>
      <c r="D396" s="13">
        <v>116757.48902390664</v>
      </c>
      <c r="E396" s="13">
        <v>118757.48902390664</v>
      </c>
      <c r="F396" s="13">
        <v>120757.48902390664</v>
      </c>
      <c r="G396" s="13">
        <v>122757.48902390664</v>
      </c>
      <c r="H396" s="13">
        <v>124757.48902390664</v>
      </c>
      <c r="I396" s="13">
        <v>126757.48902390664</v>
      </c>
      <c r="J396" s="13">
        <v>126686.63739708439</v>
      </c>
      <c r="K396" s="13">
        <v>123686.63739708439</v>
      </c>
      <c r="L396" s="13">
        <v>120686.63739708439</v>
      </c>
      <c r="M396" s="13">
        <v>117686.63739708439</v>
      </c>
      <c r="N396" s="13">
        <v>114686.63739708439</v>
      </c>
      <c r="O396" s="13">
        <v>111686.63739708439</v>
      </c>
      <c r="P396" s="13">
        <v>108686.63739708439</v>
      </c>
      <c r="Q396" s="13">
        <v>105686.63739708439</v>
      </c>
      <c r="R396" s="13">
        <v>102686.63739708439</v>
      </c>
      <c r="S396" s="13">
        <v>99686.637397084385</v>
      </c>
      <c r="T396" s="13">
        <v>96686.637397084385</v>
      </c>
      <c r="U396" s="13">
        <v>93686.637397084385</v>
      </c>
      <c r="V396" s="13">
        <v>90686.637397084385</v>
      </c>
      <c r="W396" s="13">
        <v>87686.637397084385</v>
      </c>
      <c r="X396" s="13">
        <v>84686.637397084385</v>
      </c>
    </row>
    <row r="397" spans="1:24" x14ac:dyDescent="0.35">
      <c r="A397" s="34">
        <v>370</v>
      </c>
      <c r="B397" s="2">
        <v>0.93825747297203432</v>
      </c>
      <c r="C397" s="91">
        <f t="shared" si="12"/>
        <v>45.403089875599832</v>
      </c>
      <c r="D397" s="13">
        <v>176209.26962679962</v>
      </c>
      <c r="E397" s="13">
        <v>178209.26962679962</v>
      </c>
      <c r="F397" s="13">
        <v>180209.26962679951</v>
      </c>
      <c r="G397" s="13">
        <v>182209.26962679951</v>
      </c>
      <c r="H397" s="13">
        <v>184209.26962679951</v>
      </c>
      <c r="I397" s="13">
        <v>186209.26962679951</v>
      </c>
      <c r="J397" s="13">
        <v>188209.26962679951</v>
      </c>
      <c r="K397" s="13">
        <v>190209.26962679951</v>
      </c>
      <c r="L397" s="13">
        <v>192209.26962679951</v>
      </c>
      <c r="M397" s="13">
        <v>194209.26962679951</v>
      </c>
      <c r="N397" s="13">
        <v>196209.26962679951</v>
      </c>
      <c r="O397" s="13">
        <v>198209.26962679951</v>
      </c>
      <c r="P397" s="13">
        <v>200209.26962679951</v>
      </c>
      <c r="Q397" s="13">
        <v>202209.26962679951</v>
      </c>
      <c r="R397" s="13">
        <v>204209.26962679951</v>
      </c>
      <c r="S397" s="13">
        <v>206209.26962679951</v>
      </c>
      <c r="T397" s="13">
        <v>208209.26962679951</v>
      </c>
      <c r="U397" s="13">
        <v>210209.26962679951</v>
      </c>
      <c r="V397" s="13">
        <v>212209.26962679951</v>
      </c>
      <c r="W397" s="13">
        <v>214209.26962679951</v>
      </c>
      <c r="X397" s="13">
        <v>216209.26962679951</v>
      </c>
    </row>
    <row r="398" spans="1:24" x14ac:dyDescent="0.35">
      <c r="A398" s="34">
        <v>371</v>
      </c>
      <c r="B398" s="2">
        <v>0.19600596703434348</v>
      </c>
      <c r="C398" s="91">
        <f t="shared" si="12"/>
        <v>21.440255896943697</v>
      </c>
      <c r="D398" s="13">
        <v>104320.7676908311</v>
      </c>
      <c r="E398" s="13">
        <v>106320.7676908311</v>
      </c>
      <c r="F398" s="13">
        <v>105522.04717554955</v>
      </c>
      <c r="G398" s="13">
        <v>102522.04717554955</v>
      </c>
      <c r="H398" s="13">
        <v>99522.047175549553</v>
      </c>
      <c r="I398" s="13">
        <v>96522.047175549553</v>
      </c>
      <c r="J398" s="13">
        <v>93522.047175549553</v>
      </c>
      <c r="K398" s="13">
        <v>90522.047175549553</v>
      </c>
      <c r="L398" s="13">
        <v>87522.047175549553</v>
      </c>
      <c r="M398" s="13">
        <v>84522.047175549553</v>
      </c>
      <c r="N398" s="13">
        <v>81522.047175549553</v>
      </c>
      <c r="O398" s="13">
        <v>78522.047175549553</v>
      </c>
      <c r="P398" s="13">
        <v>75522.047175549553</v>
      </c>
      <c r="Q398" s="13">
        <v>72522.047175549553</v>
      </c>
      <c r="R398" s="13">
        <v>69522.047175549553</v>
      </c>
      <c r="S398" s="13">
        <v>66522.047175549553</v>
      </c>
      <c r="T398" s="13">
        <v>63522.047175549553</v>
      </c>
      <c r="U398" s="13">
        <v>60522.047175549553</v>
      </c>
      <c r="V398" s="13">
        <v>57522.047175549553</v>
      </c>
      <c r="W398" s="13">
        <v>54522.047175549553</v>
      </c>
      <c r="X398" s="13">
        <v>51522.047175549553</v>
      </c>
    </row>
    <row r="399" spans="1:24" x14ac:dyDescent="0.35">
      <c r="A399" s="34">
        <v>372</v>
      </c>
      <c r="B399" s="2">
        <v>0.30544611098861463</v>
      </c>
      <c r="C399" s="91">
        <f t="shared" si="12"/>
        <v>24.911997183623356</v>
      </c>
      <c r="D399" s="13">
        <v>114735.99155087007</v>
      </c>
      <c r="E399" s="13">
        <v>116735.99155087007</v>
      </c>
      <c r="F399" s="13">
        <v>118735.99155087007</v>
      </c>
      <c r="G399" s="13">
        <v>120735.99155087007</v>
      </c>
      <c r="H399" s="13">
        <v>122735.99155087007</v>
      </c>
      <c r="I399" s="13">
        <v>124295.97746898688</v>
      </c>
      <c r="J399" s="13">
        <v>121295.97746898688</v>
      </c>
      <c r="K399" s="13">
        <v>118295.97746898688</v>
      </c>
      <c r="L399" s="13">
        <v>115295.97746898688</v>
      </c>
      <c r="M399" s="13">
        <v>112295.97746898688</v>
      </c>
      <c r="N399" s="13">
        <v>109295.97746898688</v>
      </c>
      <c r="O399" s="13">
        <v>106295.97746898688</v>
      </c>
      <c r="P399" s="13">
        <v>103295.97746898688</v>
      </c>
      <c r="Q399" s="13">
        <v>100295.97746898688</v>
      </c>
      <c r="R399" s="13">
        <v>97295.977468986879</v>
      </c>
      <c r="S399" s="13">
        <v>94295.977468986879</v>
      </c>
      <c r="T399" s="13">
        <v>91295.977468986879</v>
      </c>
      <c r="U399" s="13">
        <v>88295.977468986879</v>
      </c>
      <c r="V399" s="13">
        <v>85295.977468986879</v>
      </c>
      <c r="W399" s="13">
        <v>82295.977468986879</v>
      </c>
      <c r="X399" s="13">
        <v>79295.977468986879</v>
      </c>
    </row>
    <row r="400" spans="1:24" x14ac:dyDescent="0.35">
      <c r="A400" s="34">
        <v>373</v>
      </c>
      <c r="B400" s="2">
        <v>0.12784657232301488</v>
      </c>
      <c r="C400" s="91">
        <f t="shared" si="12"/>
        <v>18.633703617515678</v>
      </c>
      <c r="D400" s="13">
        <v>89069.628940125403</v>
      </c>
      <c r="E400" s="13">
        <v>86069.628940125403</v>
      </c>
      <c r="F400" s="13">
        <v>83069.628940125403</v>
      </c>
      <c r="G400" s="13">
        <v>80069.628940125462</v>
      </c>
      <c r="H400" s="13">
        <v>77069.628940125462</v>
      </c>
      <c r="I400" s="13">
        <v>74069.628940125462</v>
      </c>
      <c r="J400" s="13">
        <v>71069.628940125462</v>
      </c>
      <c r="K400" s="13">
        <v>68069.628940125462</v>
      </c>
      <c r="L400" s="13">
        <v>65069.628940125462</v>
      </c>
      <c r="M400" s="13">
        <v>62069.628940125462</v>
      </c>
      <c r="N400" s="13">
        <v>59069.628940125462</v>
      </c>
      <c r="O400" s="13">
        <v>56069.628940125462</v>
      </c>
      <c r="P400" s="13">
        <v>53069.628940125462</v>
      </c>
      <c r="Q400" s="13">
        <v>50069.628940125462</v>
      </c>
      <c r="R400" s="13">
        <v>47069.628940125462</v>
      </c>
      <c r="S400" s="13">
        <v>44069.628940125462</v>
      </c>
      <c r="T400" s="13">
        <v>41069.628940125462</v>
      </c>
      <c r="U400" s="13">
        <v>38069.628940125462</v>
      </c>
      <c r="V400" s="13">
        <v>35069.628940125462</v>
      </c>
      <c r="W400" s="13">
        <v>32069.628940125462</v>
      </c>
      <c r="X400" s="13">
        <v>29069.628940125462</v>
      </c>
    </row>
    <row r="401" spans="1:24" x14ac:dyDescent="0.35">
      <c r="A401" s="34">
        <v>374</v>
      </c>
      <c r="B401" s="2">
        <v>0.38008380096615013</v>
      </c>
      <c r="C401" s="91">
        <f t="shared" si="12"/>
        <v>26.947392957743492</v>
      </c>
      <c r="D401" s="13">
        <v>120842.17887323047</v>
      </c>
      <c r="E401" s="13">
        <v>122842.17887323047</v>
      </c>
      <c r="F401" s="13">
        <v>124842.17887323047</v>
      </c>
      <c r="G401" s="13">
        <v>126842.17887323047</v>
      </c>
      <c r="H401" s="13">
        <v>128842.17887323047</v>
      </c>
      <c r="I401" s="13">
        <v>130842.17887323047</v>
      </c>
      <c r="J401" s="13">
        <v>132842.17887323047</v>
      </c>
      <c r="K401" s="13">
        <v>134579.14366194792</v>
      </c>
      <c r="L401" s="13">
        <v>131579.14366194792</v>
      </c>
      <c r="M401" s="13">
        <v>128579.14366194792</v>
      </c>
      <c r="N401" s="13">
        <v>125579.14366194792</v>
      </c>
      <c r="O401" s="13">
        <v>122579.14366194792</v>
      </c>
      <c r="P401" s="13">
        <v>119579.14366194792</v>
      </c>
      <c r="Q401" s="13">
        <v>116579.14366194792</v>
      </c>
      <c r="R401" s="13">
        <v>113579.14366194792</v>
      </c>
      <c r="S401" s="13">
        <v>110579.14366194792</v>
      </c>
      <c r="T401" s="13">
        <v>107579.14366194792</v>
      </c>
      <c r="U401" s="13">
        <v>104579.14366194792</v>
      </c>
      <c r="V401" s="13">
        <v>101579.14366194792</v>
      </c>
      <c r="W401" s="13">
        <v>98579.143661947921</v>
      </c>
      <c r="X401" s="13">
        <v>95579.143661947921</v>
      </c>
    </row>
    <row r="402" spans="1:24" x14ac:dyDescent="0.35">
      <c r="A402" s="34">
        <v>375</v>
      </c>
      <c r="B402" s="2">
        <v>0.44509569981238883</v>
      </c>
      <c r="C402" s="91">
        <f t="shared" si="12"/>
        <v>28.619379771023944</v>
      </c>
      <c r="D402" s="13">
        <v>125858.13931307173</v>
      </c>
      <c r="E402" s="13">
        <v>127858.13931307173</v>
      </c>
      <c r="F402" s="13">
        <v>129858.13931307173</v>
      </c>
      <c r="G402" s="13">
        <v>131858.13931307173</v>
      </c>
      <c r="H402" s="13">
        <v>133858.13931307173</v>
      </c>
      <c r="I402" s="13">
        <v>135858.13931307173</v>
      </c>
      <c r="J402" s="13">
        <v>137858.13931307173</v>
      </c>
      <c r="K402" s="13">
        <v>139858.13931307173</v>
      </c>
      <c r="L402" s="13">
        <v>141858.13931307173</v>
      </c>
      <c r="M402" s="13">
        <v>141955.03816819156</v>
      </c>
      <c r="N402" s="13">
        <v>138955.03816819156</v>
      </c>
      <c r="O402" s="13">
        <v>135955.03816819156</v>
      </c>
      <c r="P402" s="13">
        <v>132955.03816819156</v>
      </c>
      <c r="Q402" s="13">
        <v>129955.03816819156</v>
      </c>
      <c r="R402" s="13">
        <v>126955.03816819156</v>
      </c>
      <c r="S402" s="13">
        <v>123955.03816819156</v>
      </c>
      <c r="T402" s="13">
        <v>120955.03816819156</v>
      </c>
      <c r="U402" s="13">
        <v>117955.03816819144</v>
      </c>
      <c r="V402" s="13">
        <v>114955.03816819144</v>
      </c>
      <c r="W402" s="13">
        <v>111955.03816819144</v>
      </c>
      <c r="X402" s="13">
        <v>108955.03816819144</v>
      </c>
    </row>
    <row r="403" spans="1:24" x14ac:dyDescent="0.35">
      <c r="A403" s="34">
        <v>376</v>
      </c>
      <c r="B403" s="2">
        <v>0.52740722933657891</v>
      </c>
      <c r="C403" s="91">
        <f t="shared" si="12"/>
        <v>30.68753865261483</v>
      </c>
      <c r="D403" s="13">
        <v>132062.61595784454</v>
      </c>
      <c r="E403" s="13">
        <v>134062.61595784454</v>
      </c>
      <c r="F403" s="13">
        <v>136062.61595784454</v>
      </c>
      <c r="G403" s="13">
        <v>138062.61595784454</v>
      </c>
      <c r="H403" s="13">
        <v>140062.61595784454</v>
      </c>
      <c r="I403" s="13">
        <v>142062.61595784454</v>
      </c>
      <c r="J403" s="13">
        <v>144062.61595784454</v>
      </c>
      <c r="K403" s="13">
        <v>146062.61595784454</v>
      </c>
      <c r="L403" s="13">
        <v>148062.61595784454</v>
      </c>
      <c r="M403" s="13">
        <v>150062.61595784454</v>
      </c>
      <c r="N403" s="13">
        <v>152062.61595784454</v>
      </c>
      <c r="O403" s="13">
        <v>152500.30922091869</v>
      </c>
      <c r="P403" s="13">
        <v>149500.30922091869</v>
      </c>
      <c r="Q403" s="13">
        <v>146500.30922091869</v>
      </c>
      <c r="R403" s="13">
        <v>143500.30922091869</v>
      </c>
      <c r="S403" s="13">
        <v>140500.30922091869</v>
      </c>
      <c r="T403" s="13">
        <v>137500.30922091869</v>
      </c>
      <c r="U403" s="13">
        <v>134500.30922091869</v>
      </c>
      <c r="V403" s="13">
        <v>131500.30922091869</v>
      </c>
      <c r="W403" s="13">
        <v>128500.30922091869</v>
      </c>
      <c r="X403" s="13">
        <v>125500.30922091869</v>
      </c>
    </row>
    <row r="404" spans="1:24" x14ac:dyDescent="0.35">
      <c r="A404" s="34">
        <v>377</v>
      </c>
      <c r="B404" s="2">
        <v>0.65312408699405189</v>
      </c>
      <c r="C404" s="91">
        <f t="shared" si="12"/>
        <v>33.937686851771346</v>
      </c>
      <c r="D404" s="13">
        <v>141813.06055531395</v>
      </c>
      <c r="E404" s="13">
        <v>143813.06055531395</v>
      </c>
      <c r="F404" s="13">
        <v>145813.06055531395</v>
      </c>
      <c r="G404" s="13">
        <v>147813.06055531395</v>
      </c>
      <c r="H404" s="13">
        <v>149813.06055531395</v>
      </c>
      <c r="I404" s="13">
        <v>151813.06055531395</v>
      </c>
      <c r="J404" s="13">
        <v>153813.06055531395</v>
      </c>
      <c r="K404" s="13">
        <v>155813.06055531395</v>
      </c>
      <c r="L404" s="13">
        <v>157813.06055531395</v>
      </c>
      <c r="M404" s="13">
        <v>159813.06055531406</v>
      </c>
      <c r="N404" s="13">
        <v>161813.06055531406</v>
      </c>
      <c r="O404" s="13">
        <v>163813.06055531406</v>
      </c>
      <c r="P404" s="13">
        <v>165813.06055531406</v>
      </c>
      <c r="Q404" s="13">
        <v>167813.06055531406</v>
      </c>
      <c r="R404" s="13">
        <v>169501.49481417087</v>
      </c>
      <c r="S404" s="13">
        <v>166501.49481417087</v>
      </c>
      <c r="T404" s="13">
        <v>163501.49481417087</v>
      </c>
      <c r="U404" s="13">
        <v>160501.49481417087</v>
      </c>
      <c r="V404" s="13">
        <v>157501.49481417076</v>
      </c>
      <c r="W404" s="13">
        <v>154501.49481417076</v>
      </c>
      <c r="X404" s="13">
        <v>151501.49481417076</v>
      </c>
    </row>
    <row r="405" spans="1:24" x14ac:dyDescent="0.35">
      <c r="A405" s="34">
        <v>378</v>
      </c>
      <c r="B405" s="2">
        <v>0.18123822388754218</v>
      </c>
      <c r="C405" s="91">
        <f t="shared" si="12"/>
        <v>20.893436080848094</v>
      </c>
      <c r="D405" s="13">
        <v>102680.3082425443</v>
      </c>
      <c r="E405" s="13">
        <v>104147.4886467848</v>
      </c>
      <c r="F405" s="13">
        <v>101147.4886467848</v>
      </c>
      <c r="G405" s="13">
        <v>98147.488646784797</v>
      </c>
      <c r="H405" s="13">
        <v>95147.488646784797</v>
      </c>
      <c r="I405" s="13">
        <v>92147.488646784797</v>
      </c>
      <c r="J405" s="13">
        <v>89147.488646784797</v>
      </c>
      <c r="K405" s="13">
        <v>86147.488646784797</v>
      </c>
      <c r="L405" s="13">
        <v>83147.488646784797</v>
      </c>
      <c r="M405" s="13">
        <v>80147.488646784797</v>
      </c>
      <c r="N405" s="13">
        <v>77147.488646784797</v>
      </c>
      <c r="O405" s="13">
        <v>74147.488646784797</v>
      </c>
      <c r="P405" s="13">
        <v>71147.488646784797</v>
      </c>
      <c r="Q405" s="13">
        <v>68147.488646784797</v>
      </c>
      <c r="R405" s="13">
        <v>65147.488646784797</v>
      </c>
      <c r="S405" s="13">
        <v>62147.488646784797</v>
      </c>
      <c r="T405" s="13">
        <v>59147.488646784797</v>
      </c>
      <c r="U405" s="13">
        <v>56147.488646784797</v>
      </c>
      <c r="V405" s="13">
        <v>53147.488646784797</v>
      </c>
      <c r="W405" s="13">
        <v>50147.488646784797</v>
      </c>
      <c r="X405" s="13">
        <v>47147.488646784797</v>
      </c>
    </row>
    <row r="406" spans="1:24" x14ac:dyDescent="0.35">
      <c r="A406" s="34">
        <v>379</v>
      </c>
      <c r="B406" s="2">
        <v>0.26999181177743081</v>
      </c>
      <c r="C406" s="91">
        <f t="shared" si="12"/>
        <v>23.871622444418662</v>
      </c>
      <c r="D406" s="13">
        <v>111614.86733325606</v>
      </c>
      <c r="E406" s="13">
        <v>113614.86733325606</v>
      </c>
      <c r="F406" s="13">
        <v>115614.86733325606</v>
      </c>
      <c r="G406" s="13">
        <v>117614.86733325606</v>
      </c>
      <c r="H406" s="13">
        <v>118972.97955534933</v>
      </c>
      <c r="I406" s="13">
        <v>115972.97955534933</v>
      </c>
      <c r="J406" s="13">
        <v>112972.97955534933</v>
      </c>
      <c r="K406" s="13">
        <v>109972.97955534933</v>
      </c>
      <c r="L406" s="13">
        <v>106972.97955534933</v>
      </c>
      <c r="M406" s="13">
        <v>103972.97955534933</v>
      </c>
      <c r="N406" s="13">
        <v>100972.97955534933</v>
      </c>
      <c r="O406" s="13">
        <v>97972.979555349331</v>
      </c>
      <c r="P406" s="13">
        <v>94972.979555349331</v>
      </c>
      <c r="Q406" s="13">
        <v>91972.979555349331</v>
      </c>
      <c r="R406" s="13">
        <v>88972.979555349331</v>
      </c>
      <c r="S406" s="13">
        <v>85972.979555349331</v>
      </c>
      <c r="T406" s="13">
        <v>82972.979555349331</v>
      </c>
      <c r="U406" s="13">
        <v>79972.979555349331</v>
      </c>
      <c r="V406" s="13">
        <v>76972.979555349331</v>
      </c>
      <c r="W406" s="13">
        <v>73972.979555349331</v>
      </c>
      <c r="X406" s="13">
        <v>70972.979555349331</v>
      </c>
    </row>
    <row r="407" spans="1:24" x14ac:dyDescent="0.35">
      <c r="A407" s="34">
        <v>380</v>
      </c>
      <c r="B407" s="2">
        <v>0.54965270545072975</v>
      </c>
      <c r="C407" s="91">
        <f t="shared" si="12"/>
        <v>31.247839563332924</v>
      </c>
      <c r="D407" s="13">
        <v>133743.51868999889</v>
      </c>
      <c r="E407" s="13">
        <v>135743.51868999889</v>
      </c>
      <c r="F407" s="13">
        <v>137743.51868999889</v>
      </c>
      <c r="G407" s="13">
        <v>139743.51868999889</v>
      </c>
      <c r="H407" s="13">
        <v>141743.51868999889</v>
      </c>
      <c r="I407" s="13">
        <v>143743.51868999889</v>
      </c>
      <c r="J407" s="13">
        <v>145743.51868999889</v>
      </c>
      <c r="K407" s="13">
        <v>147743.51868999889</v>
      </c>
      <c r="L407" s="13">
        <v>149743.51868999889</v>
      </c>
      <c r="M407" s="13">
        <v>151743.51868999877</v>
      </c>
      <c r="N407" s="13">
        <v>153743.51868999877</v>
      </c>
      <c r="O407" s="13">
        <v>155743.51868999877</v>
      </c>
      <c r="P407" s="13">
        <v>153982.71650666348</v>
      </c>
      <c r="Q407" s="13">
        <v>150982.71650666348</v>
      </c>
      <c r="R407" s="13">
        <v>147982.71650666348</v>
      </c>
      <c r="S407" s="13">
        <v>144982.71650666348</v>
      </c>
      <c r="T407" s="13">
        <v>141982.71650666348</v>
      </c>
      <c r="U407" s="13">
        <v>138982.71650666348</v>
      </c>
      <c r="V407" s="13">
        <v>135982.71650666348</v>
      </c>
      <c r="W407" s="13">
        <v>132982.71650666348</v>
      </c>
      <c r="X407" s="13">
        <v>129982.71650666348</v>
      </c>
    </row>
    <row r="408" spans="1:24" x14ac:dyDescent="0.35">
      <c r="A408" s="34">
        <v>381</v>
      </c>
      <c r="B408" s="2">
        <v>7.7208118376398072E-2</v>
      </c>
      <c r="C408" s="91">
        <f t="shared" si="12"/>
        <v>15.758955441614116</v>
      </c>
      <c r="D408" s="13">
        <v>66071.643532912945</v>
      </c>
      <c r="E408" s="13">
        <v>63071.643532912945</v>
      </c>
      <c r="F408" s="13">
        <v>60071.643532912945</v>
      </c>
      <c r="G408" s="13">
        <v>57071.643532912945</v>
      </c>
      <c r="H408" s="13">
        <v>54071.643532912945</v>
      </c>
      <c r="I408" s="13">
        <v>51071.643532912945</v>
      </c>
      <c r="J408" s="13">
        <v>48071.643532912945</v>
      </c>
      <c r="K408" s="13">
        <v>45071.643532912945</v>
      </c>
      <c r="L408" s="13">
        <v>42071.643532912945</v>
      </c>
      <c r="M408" s="13">
        <v>39071.643532912945</v>
      </c>
      <c r="N408" s="13">
        <v>36071.643532912945</v>
      </c>
      <c r="O408" s="13">
        <v>33071.643532912945</v>
      </c>
      <c r="P408" s="13">
        <v>30071.643532912945</v>
      </c>
      <c r="Q408" s="13">
        <v>27071.643532912945</v>
      </c>
      <c r="R408" s="13">
        <v>24071.643532912945</v>
      </c>
      <c r="S408" s="13">
        <v>21071.643532912945</v>
      </c>
      <c r="T408" s="13">
        <v>18071.643532912945</v>
      </c>
      <c r="U408" s="13">
        <v>15071.643532912945</v>
      </c>
      <c r="V408" s="13">
        <v>12071.643532912945</v>
      </c>
      <c r="W408" s="13">
        <v>9071.6435329129454</v>
      </c>
      <c r="X408" s="13">
        <v>6071.6435329129454</v>
      </c>
    </row>
    <row r="409" spans="1:24" x14ac:dyDescent="0.35">
      <c r="A409" s="34">
        <v>382</v>
      </c>
      <c r="B409" s="2">
        <v>0.93215033480336751</v>
      </c>
      <c r="C409" s="91">
        <f t="shared" si="12"/>
        <v>44.919992940967987</v>
      </c>
      <c r="D409" s="13">
        <v>174759.97882290394</v>
      </c>
      <c r="E409" s="13">
        <v>176759.97882290394</v>
      </c>
      <c r="F409" s="13">
        <v>178759.97882290394</v>
      </c>
      <c r="G409" s="13">
        <v>180759.97882290394</v>
      </c>
      <c r="H409" s="13">
        <v>182759.97882290394</v>
      </c>
      <c r="I409" s="13">
        <v>184759.97882290394</v>
      </c>
      <c r="J409" s="13">
        <v>186759.97882290394</v>
      </c>
      <c r="K409" s="13">
        <v>188759.97882290394</v>
      </c>
      <c r="L409" s="13">
        <v>190759.97882290394</v>
      </c>
      <c r="M409" s="13">
        <v>192759.97882290394</v>
      </c>
      <c r="N409" s="13">
        <v>194759.97882290394</v>
      </c>
      <c r="O409" s="13">
        <v>196759.97882290394</v>
      </c>
      <c r="P409" s="13">
        <v>198759.97882290394</v>
      </c>
      <c r="Q409" s="13">
        <v>200759.97882290394</v>
      </c>
      <c r="R409" s="13">
        <v>202759.97882290394</v>
      </c>
      <c r="S409" s="13">
        <v>204759.97882290394</v>
      </c>
      <c r="T409" s="13">
        <v>206759.97882290394</v>
      </c>
      <c r="U409" s="13">
        <v>208759.97882290394</v>
      </c>
      <c r="V409" s="13">
        <v>210759.97882290394</v>
      </c>
      <c r="W409" s="13">
        <v>212759.97882290394</v>
      </c>
      <c r="X409" s="13">
        <v>214759.97882290394</v>
      </c>
    </row>
    <row r="410" spans="1:24" x14ac:dyDescent="0.35">
      <c r="A410" s="34">
        <v>383</v>
      </c>
      <c r="B410" s="2">
        <v>0.24903536398086079</v>
      </c>
      <c r="C410" s="91">
        <f t="shared" si="12"/>
        <v>23.22471553848073</v>
      </c>
      <c r="D410" s="13">
        <v>109674.14661544218</v>
      </c>
      <c r="E410" s="13">
        <v>111674.14661544218</v>
      </c>
      <c r="F410" s="13">
        <v>113674.14661544218</v>
      </c>
      <c r="G410" s="13">
        <v>115674.14661544218</v>
      </c>
      <c r="H410" s="13">
        <v>113797.72430784581</v>
      </c>
      <c r="I410" s="13">
        <v>110797.72430784581</v>
      </c>
      <c r="J410" s="13">
        <v>107797.72430784581</v>
      </c>
      <c r="K410" s="13">
        <v>104797.72430784581</v>
      </c>
      <c r="L410" s="13">
        <v>101797.72430784581</v>
      </c>
      <c r="M410" s="13">
        <v>98797.724307845812</v>
      </c>
      <c r="N410" s="13">
        <v>95797.724307845812</v>
      </c>
      <c r="O410" s="13">
        <v>92797.724307845812</v>
      </c>
      <c r="P410" s="13">
        <v>89797.724307845812</v>
      </c>
      <c r="Q410" s="13">
        <v>86797.724307845812</v>
      </c>
      <c r="R410" s="13">
        <v>83797.724307845812</v>
      </c>
      <c r="S410" s="13">
        <v>80797.724307845812</v>
      </c>
      <c r="T410" s="13">
        <v>77797.724307845812</v>
      </c>
      <c r="U410" s="13">
        <v>74797.724307845812</v>
      </c>
      <c r="V410" s="13">
        <v>71797.724307845812</v>
      </c>
      <c r="W410" s="13">
        <v>68797.724307845812</v>
      </c>
      <c r="X410" s="13">
        <v>65797.724307845812</v>
      </c>
    </row>
    <row r="411" spans="1:24" x14ac:dyDescent="0.35">
      <c r="A411" s="34">
        <v>384</v>
      </c>
      <c r="B411" s="2">
        <v>0.41958261606655467</v>
      </c>
      <c r="C411" s="91">
        <f t="shared" si="12"/>
        <v>27.970386378068351</v>
      </c>
      <c r="D411" s="13">
        <v>123911.15913420508</v>
      </c>
      <c r="E411" s="13">
        <v>125911.15913420508</v>
      </c>
      <c r="F411" s="13">
        <v>127911.15913420508</v>
      </c>
      <c r="G411" s="13">
        <v>129911.15913420508</v>
      </c>
      <c r="H411" s="13">
        <v>131911.15913420508</v>
      </c>
      <c r="I411" s="13">
        <v>133911.15913420508</v>
      </c>
      <c r="J411" s="13">
        <v>135911.15913420508</v>
      </c>
      <c r="K411" s="13">
        <v>137911.15913420508</v>
      </c>
      <c r="L411" s="13">
        <v>139763.09102454677</v>
      </c>
      <c r="M411" s="13">
        <v>136763.09102454677</v>
      </c>
      <c r="N411" s="13">
        <v>133763.09102454677</v>
      </c>
      <c r="O411" s="13">
        <v>130763.09102454677</v>
      </c>
      <c r="P411" s="13">
        <v>127763.09102454677</v>
      </c>
      <c r="Q411" s="13">
        <v>124763.09102454677</v>
      </c>
      <c r="R411" s="13">
        <v>121763.09102454677</v>
      </c>
      <c r="S411" s="13">
        <v>118763.09102454677</v>
      </c>
      <c r="T411" s="13">
        <v>115763.09102454677</v>
      </c>
      <c r="U411" s="13">
        <v>112763.09102454677</v>
      </c>
      <c r="V411" s="13">
        <v>109763.09102454677</v>
      </c>
      <c r="W411" s="13">
        <v>106763.09102454677</v>
      </c>
      <c r="X411" s="13">
        <v>103763.09102454677</v>
      </c>
    </row>
    <row r="412" spans="1:24" x14ac:dyDescent="0.35">
      <c r="A412" s="34">
        <v>385</v>
      </c>
      <c r="B412" s="2">
        <v>0.7303747227950369</v>
      </c>
      <c r="C412" s="91">
        <f t="shared" si="12"/>
        <v>36.139466917216389</v>
      </c>
      <c r="D412" s="13">
        <v>148418.40075164917</v>
      </c>
      <c r="E412" s="13">
        <v>150418.40075164917</v>
      </c>
      <c r="F412" s="13">
        <v>152418.40075164917</v>
      </c>
      <c r="G412" s="13">
        <v>154418.40075164917</v>
      </c>
      <c r="H412" s="13">
        <v>156418.40075164917</v>
      </c>
      <c r="I412" s="13">
        <v>158418.40075164917</v>
      </c>
      <c r="J412" s="13">
        <v>160418.40075164917</v>
      </c>
      <c r="K412" s="13">
        <v>162418.40075164917</v>
      </c>
      <c r="L412" s="13">
        <v>164418.40075164917</v>
      </c>
      <c r="M412" s="13">
        <v>166418.40075164917</v>
      </c>
      <c r="N412" s="13">
        <v>168418.40075164917</v>
      </c>
      <c r="O412" s="13">
        <v>170418.40075164917</v>
      </c>
      <c r="P412" s="13">
        <v>172418.40075164917</v>
      </c>
      <c r="Q412" s="13">
        <v>174418.40075164917</v>
      </c>
      <c r="R412" s="13">
        <v>176418.40075164917</v>
      </c>
      <c r="S412" s="13">
        <v>178418.40075164917</v>
      </c>
      <c r="T412" s="13">
        <v>180418.40075164917</v>
      </c>
      <c r="U412" s="13">
        <v>178115.73533773108</v>
      </c>
      <c r="V412" s="13">
        <v>175115.73533773108</v>
      </c>
      <c r="W412" s="13">
        <v>172115.73533773108</v>
      </c>
      <c r="X412" s="13">
        <v>169115.73533773108</v>
      </c>
    </row>
    <row r="413" spans="1:24" x14ac:dyDescent="0.35">
      <c r="A413" s="34">
        <v>386</v>
      </c>
      <c r="B413" s="2">
        <v>0.15323866120619822</v>
      </c>
      <c r="C413" s="91">
        <f t="shared" ref="C413:C476" si="13">_xlfn.NORM.INV(B413,$F$6,$F$8)</f>
        <v>19.773583776811549</v>
      </c>
      <c r="D413" s="13">
        <v>98188.67021449242</v>
      </c>
      <c r="E413" s="13">
        <v>95188.67021449242</v>
      </c>
      <c r="F413" s="13">
        <v>92188.670214492362</v>
      </c>
      <c r="G413" s="13">
        <v>89188.670214492362</v>
      </c>
      <c r="H413" s="13">
        <v>86188.670214492362</v>
      </c>
      <c r="I413" s="13">
        <v>83188.670214492362</v>
      </c>
      <c r="J413" s="13">
        <v>80188.670214492362</v>
      </c>
      <c r="K413" s="13">
        <v>77188.670214492362</v>
      </c>
      <c r="L413" s="13">
        <v>74188.670214492362</v>
      </c>
      <c r="M413" s="13">
        <v>71188.670214492362</v>
      </c>
      <c r="N413" s="13">
        <v>68188.670214492362</v>
      </c>
      <c r="O413" s="13">
        <v>65188.670214492362</v>
      </c>
      <c r="P413" s="13">
        <v>62188.670214492362</v>
      </c>
      <c r="Q413" s="13">
        <v>59188.670214492362</v>
      </c>
      <c r="R413" s="13">
        <v>56188.670214492362</v>
      </c>
      <c r="S413" s="13">
        <v>53188.670214492362</v>
      </c>
      <c r="T413" s="13">
        <v>50188.670214492362</v>
      </c>
      <c r="U413" s="13">
        <v>47188.670214492362</v>
      </c>
      <c r="V413" s="13">
        <v>44188.670214492362</v>
      </c>
      <c r="W413" s="13">
        <v>41188.670214492362</v>
      </c>
      <c r="X413" s="13">
        <v>38188.670214492362</v>
      </c>
    </row>
    <row r="414" spans="1:24" x14ac:dyDescent="0.35">
      <c r="A414" s="34">
        <v>387</v>
      </c>
      <c r="B414" s="2">
        <v>0.15061043491280124</v>
      </c>
      <c r="C414" s="91">
        <f t="shared" si="13"/>
        <v>19.66181176033102</v>
      </c>
      <c r="D414" s="13">
        <v>97294.494082648132</v>
      </c>
      <c r="E414" s="13">
        <v>94294.494082648191</v>
      </c>
      <c r="F414" s="13">
        <v>91294.494082648191</v>
      </c>
      <c r="G414" s="13">
        <v>88294.494082648191</v>
      </c>
      <c r="H414" s="13">
        <v>85294.494082648191</v>
      </c>
      <c r="I414" s="13">
        <v>82294.494082648191</v>
      </c>
      <c r="J414" s="13">
        <v>79294.494082648191</v>
      </c>
      <c r="K414" s="13">
        <v>76294.494082648191</v>
      </c>
      <c r="L414" s="13">
        <v>73294.494082648191</v>
      </c>
      <c r="M414" s="13">
        <v>70294.494082648191</v>
      </c>
      <c r="N414" s="13">
        <v>67294.494082648191</v>
      </c>
      <c r="O414" s="13">
        <v>64294.494082648191</v>
      </c>
      <c r="P414" s="13">
        <v>61294.494082648191</v>
      </c>
      <c r="Q414" s="13">
        <v>58294.494082648191</v>
      </c>
      <c r="R414" s="13">
        <v>55294.494082648191</v>
      </c>
      <c r="S414" s="13">
        <v>52294.494082648191</v>
      </c>
      <c r="T414" s="13">
        <v>49294.494082648074</v>
      </c>
      <c r="U414" s="13">
        <v>46294.494082648074</v>
      </c>
      <c r="V414" s="13">
        <v>43294.494082648074</v>
      </c>
      <c r="W414" s="13">
        <v>40294.494082648074</v>
      </c>
      <c r="X414" s="13">
        <v>37294.494082648074</v>
      </c>
    </row>
    <row r="415" spans="1:24" x14ac:dyDescent="0.35">
      <c r="A415" s="34">
        <v>388</v>
      </c>
      <c r="B415" s="2">
        <v>0.44044677524279952</v>
      </c>
      <c r="C415" s="91">
        <f t="shared" si="13"/>
        <v>28.501634225626578</v>
      </c>
      <c r="D415" s="13">
        <v>125504.90267687978</v>
      </c>
      <c r="E415" s="13">
        <v>127504.90267687978</v>
      </c>
      <c r="F415" s="13">
        <v>129504.90267687978</v>
      </c>
      <c r="G415" s="13">
        <v>131504.90267687978</v>
      </c>
      <c r="H415" s="13">
        <v>133504.90267687978</v>
      </c>
      <c r="I415" s="13">
        <v>135504.90267687978</v>
      </c>
      <c r="J415" s="13">
        <v>137504.90267687978</v>
      </c>
      <c r="K415" s="13">
        <v>139504.90267687978</v>
      </c>
      <c r="L415" s="13">
        <v>141504.90267687978</v>
      </c>
      <c r="M415" s="13">
        <v>141013.07380501262</v>
      </c>
      <c r="N415" s="13">
        <v>138013.07380501262</v>
      </c>
      <c r="O415" s="13">
        <v>135013.07380501262</v>
      </c>
      <c r="P415" s="13">
        <v>132013.07380501262</v>
      </c>
      <c r="Q415" s="13">
        <v>129013.07380501262</v>
      </c>
      <c r="R415" s="13">
        <v>126013.07380501262</v>
      </c>
      <c r="S415" s="13">
        <v>123013.07380501262</v>
      </c>
      <c r="T415" s="13">
        <v>120013.07380501262</v>
      </c>
      <c r="U415" s="13">
        <v>117013.07380501262</v>
      </c>
      <c r="V415" s="13">
        <v>114013.07380501262</v>
      </c>
      <c r="W415" s="13">
        <v>111013.07380501262</v>
      </c>
      <c r="X415" s="13">
        <v>108013.07380501262</v>
      </c>
    </row>
    <row r="416" spans="1:24" x14ac:dyDescent="0.35">
      <c r="A416" s="34">
        <v>389</v>
      </c>
      <c r="B416" s="2">
        <v>5.6365558801324989E-2</v>
      </c>
      <c r="C416" s="91">
        <f t="shared" si="13"/>
        <v>14.139638863571765</v>
      </c>
      <c r="D416" s="13">
        <v>53117.110908574134</v>
      </c>
      <c r="E416" s="13">
        <v>50117.110908574134</v>
      </c>
      <c r="F416" s="13">
        <v>47117.110908574134</v>
      </c>
      <c r="G416" s="13">
        <v>44117.110908574134</v>
      </c>
      <c r="H416" s="13">
        <v>41117.110908574134</v>
      </c>
      <c r="I416" s="13">
        <v>38117.110908574192</v>
      </c>
      <c r="J416" s="13">
        <v>35117.110908574192</v>
      </c>
      <c r="K416" s="13">
        <v>32117.110908574192</v>
      </c>
      <c r="L416" s="13">
        <v>29117.110908574192</v>
      </c>
      <c r="M416" s="13">
        <v>26117.110908574192</v>
      </c>
      <c r="N416" s="13">
        <v>23117.110908574192</v>
      </c>
      <c r="O416" s="13">
        <v>20117.110908574192</v>
      </c>
      <c r="P416" s="13">
        <v>17117.110908574192</v>
      </c>
      <c r="Q416" s="13">
        <v>14117.110908574192</v>
      </c>
      <c r="R416" s="13">
        <v>11117.110908574192</v>
      </c>
      <c r="S416" s="13">
        <v>8117.1109085741919</v>
      </c>
      <c r="T416" s="13">
        <v>5117.1109085741919</v>
      </c>
      <c r="U416" s="13">
        <v>2117.1109085741919</v>
      </c>
      <c r="V416" s="13">
        <v>-882.88909142580815</v>
      </c>
      <c r="W416" s="13">
        <v>-3882.8890914258081</v>
      </c>
      <c r="X416" s="13">
        <v>-6882.8890914258081</v>
      </c>
    </row>
    <row r="417" spans="1:24" x14ac:dyDescent="0.35">
      <c r="A417" s="34">
        <v>390</v>
      </c>
      <c r="B417" s="2">
        <v>0.28209154981742257</v>
      </c>
      <c r="C417" s="91">
        <f t="shared" si="13"/>
        <v>24.23360632861348</v>
      </c>
      <c r="D417" s="13">
        <v>112700.81898584042</v>
      </c>
      <c r="E417" s="13">
        <v>114700.81898584042</v>
      </c>
      <c r="F417" s="13">
        <v>116700.81898584042</v>
      </c>
      <c r="G417" s="13">
        <v>118700.81898584042</v>
      </c>
      <c r="H417" s="13">
        <v>120700.81898584042</v>
      </c>
      <c r="I417" s="13">
        <v>118868.85062890779</v>
      </c>
      <c r="J417" s="13">
        <v>115868.85062890779</v>
      </c>
      <c r="K417" s="13">
        <v>112868.85062890779</v>
      </c>
      <c r="L417" s="13">
        <v>109868.85062890779</v>
      </c>
      <c r="M417" s="13">
        <v>106868.85062890779</v>
      </c>
      <c r="N417" s="13">
        <v>103868.85062890779</v>
      </c>
      <c r="O417" s="13">
        <v>100868.85062890779</v>
      </c>
      <c r="P417" s="13">
        <v>97868.850628907792</v>
      </c>
      <c r="Q417" s="13">
        <v>94868.850628907792</v>
      </c>
      <c r="R417" s="13">
        <v>91868.850628907792</v>
      </c>
      <c r="S417" s="13">
        <v>88868.850628907792</v>
      </c>
      <c r="T417" s="13">
        <v>85868.850628907792</v>
      </c>
      <c r="U417" s="13">
        <v>82868.850628907792</v>
      </c>
      <c r="V417" s="13">
        <v>79868.850628907792</v>
      </c>
      <c r="W417" s="13">
        <v>76868.850628907792</v>
      </c>
      <c r="X417" s="13">
        <v>73868.850628907792</v>
      </c>
    </row>
    <row r="418" spans="1:24" x14ac:dyDescent="0.35">
      <c r="A418" s="34">
        <v>391</v>
      </c>
      <c r="B418" s="2">
        <v>0.38053450294017988</v>
      </c>
      <c r="C418" s="91">
        <f t="shared" si="13"/>
        <v>26.95922707093445</v>
      </c>
      <c r="D418" s="13">
        <v>120877.68121280335</v>
      </c>
      <c r="E418" s="13">
        <v>122877.68121280335</v>
      </c>
      <c r="F418" s="13">
        <v>124877.68121280335</v>
      </c>
      <c r="G418" s="13">
        <v>126877.68121280335</v>
      </c>
      <c r="H418" s="13">
        <v>128877.68121280335</v>
      </c>
      <c r="I418" s="13">
        <v>130877.68121280335</v>
      </c>
      <c r="J418" s="13">
        <v>132877.68121280335</v>
      </c>
      <c r="K418" s="13">
        <v>134673.81656747567</v>
      </c>
      <c r="L418" s="13">
        <v>131673.81656747567</v>
      </c>
      <c r="M418" s="13">
        <v>128673.81656747567</v>
      </c>
      <c r="N418" s="13">
        <v>125673.81656747567</v>
      </c>
      <c r="O418" s="13">
        <v>122673.81656747567</v>
      </c>
      <c r="P418" s="13">
        <v>119673.81656747567</v>
      </c>
      <c r="Q418" s="13">
        <v>116673.81656747567</v>
      </c>
      <c r="R418" s="13">
        <v>113673.81656747567</v>
      </c>
      <c r="S418" s="13">
        <v>110673.81656747567</v>
      </c>
      <c r="T418" s="13">
        <v>107673.81656747567</v>
      </c>
      <c r="U418" s="13">
        <v>104673.81656747567</v>
      </c>
      <c r="V418" s="13">
        <v>101673.81656747567</v>
      </c>
      <c r="W418" s="13">
        <v>98673.816567475675</v>
      </c>
      <c r="X418" s="13">
        <v>95673.816567475675</v>
      </c>
    </row>
    <row r="419" spans="1:24" x14ac:dyDescent="0.35">
      <c r="A419" s="34">
        <v>392</v>
      </c>
      <c r="B419" s="2">
        <v>0.69859310618338355</v>
      </c>
      <c r="C419" s="91">
        <f t="shared" si="13"/>
        <v>35.20358416228288</v>
      </c>
      <c r="D419" s="13">
        <v>145610.75248684862</v>
      </c>
      <c r="E419" s="13">
        <v>147610.75248684862</v>
      </c>
      <c r="F419" s="13">
        <v>149610.75248684862</v>
      </c>
      <c r="G419" s="13">
        <v>151610.75248684862</v>
      </c>
      <c r="H419" s="13">
        <v>153610.75248684862</v>
      </c>
      <c r="I419" s="13">
        <v>155610.75248684862</v>
      </c>
      <c r="J419" s="13">
        <v>157610.75248684862</v>
      </c>
      <c r="K419" s="13">
        <v>159610.75248684862</v>
      </c>
      <c r="L419" s="13">
        <v>161610.75248684862</v>
      </c>
      <c r="M419" s="13">
        <v>163610.75248684862</v>
      </c>
      <c r="N419" s="13">
        <v>165610.75248684862</v>
      </c>
      <c r="O419" s="13">
        <v>167610.75248684862</v>
      </c>
      <c r="P419" s="13">
        <v>169610.75248684862</v>
      </c>
      <c r="Q419" s="13">
        <v>171610.75248684862</v>
      </c>
      <c r="R419" s="13">
        <v>173610.75248684862</v>
      </c>
      <c r="S419" s="13">
        <v>175610.75248684862</v>
      </c>
      <c r="T419" s="13">
        <v>173628.67329826299</v>
      </c>
      <c r="U419" s="13">
        <v>170628.67329826299</v>
      </c>
      <c r="V419" s="13">
        <v>167628.67329826299</v>
      </c>
      <c r="W419" s="13">
        <v>164628.67329826299</v>
      </c>
      <c r="X419" s="13">
        <v>161628.67329826299</v>
      </c>
    </row>
    <row r="420" spans="1:24" x14ac:dyDescent="0.35">
      <c r="A420" s="34">
        <v>393</v>
      </c>
      <c r="B420" s="2">
        <v>0.3057768659996456</v>
      </c>
      <c r="C420" s="91">
        <f t="shared" si="13"/>
        <v>24.921431420520491</v>
      </c>
      <c r="D420" s="13">
        <v>114764.29426156147</v>
      </c>
      <c r="E420" s="13">
        <v>116764.29426156147</v>
      </c>
      <c r="F420" s="13">
        <v>118764.29426156153</v>
      </c>
      <c r="G420" s="13">
        <v>120764.29426156153</v>
      </c>
      <c r="H420" s="13">
        <v>122764.29426156153</v>
      </c>
      <c r="I420" s="13">
        <v>124371.45136416401</v>
      </c>
      <c r="J420" s="13">
        <v>121371.45136416401</v>
      </c>
      <c r="K420" s="13">
        <v>118371.45136416401</v>
      </c>
      <c r="L420" s="13">
        <v>115371.45136416401</v>
      </c>
      <c r="M420" s="13">
        <v>112371.45136416401</v>
      </c>
      <c r="N420" s="13">
        <v>109371.45136416401</v>
      </c>
      <c r="O420" s="13">
        <v>106371.45136416401</v>
      </c>
      <c r="P420" s="13">
        <v>103371.45136416401</v>
      </c>
      <c r="Q420" s="13">
        <v>100371.45136416401</v>
      </c>
      <c r="R420" s="13">
        <v>97371.451364164008</v>
      </c>
      <c r="S420" s="13">
        <v>94371.451364164008</v>
      </c>
      <c r="T420" s="13">
        <v>91371.451364164008</v>
      </c>
      <c r="U420" s="13">
        <v>88371.451364164008</v>
      </c>
      <c r="V420" s="13">
        <v>85371.451364164008</v>
      </c>
      <c r="W420" s="13">
        <v>82371.451364164008</v>
      </c>
      <c r="X420" s="13">
        <v>79371.451364164008</v>
      </c>
    </row>
    <row r="421" spans="1:24" x14ac:dyDescent="0.35">
      <c r="A421" s="34">
        <v>394</v>
      </c>
      <c r="B421" s="2">
        <v>0.75376525115655313</v>
      </c>
      <c r="C421" s="91">
        <f t="shared" si="13"/>
        <v>36.863863692160002</v>
      </c>
      <c r="D421" s="13">
        <v>150591.59107647999</v>
      </c>
      <c r="E421" s="13">
        <v>152591.59107647999</v>
      </c>
      <c r="F421" s="13">
        <v>154591.59107647999</v>
      </c>
      <c r="G421" s="13">
        <v>156591.59107647999</v>
      </c>
      <c r="H421" s="13">
        <v>158591.59107647999</v>
      </c>
      <c r="I421" s="13">
        <v>160591.59107647999</v>
      </c>
      <c r="J421" s="13">
        <v>162591.59107647999</v>
      </c>
      <c r="K421" s="13">
        <v>164591.59107647999</v>
      </c>
      <c r="L421" s="13">
        <v>166591.59107647999</v>
      </c>
      <c r="M421" s="13">
        <v>168591.59107647999</v>
      </c>
      <c r="N421" s="13">
        <v>170591.59107647999</v>
      </c>
      <c r="O421" s="13">
        <v>172591.59107647999</v>
      </c>
      <c r="P421" s="13">
        <v>174591.59107647999</v>
      </c>
      <c r="Q421" s="13">
        <v>176591.59107647999</v>
      </c>
      <c r="R421" s="13">
        <v>178591.59107647999</v>
      </c>
      <c r="S421" s="13">
        <v>180591.59107647999</v>
      </c>
      <c r="T421" s="13">
        <v>182591.59107647999</v>
      </c>
      <c r="U421" s="13">
        <v>183910.90953727998</v>
      </c>
      <c r="V421" s="13">
        <v>180910.90953727998</v>
      </c>
      <c r="W421" s="13">
        <v>177910.90953727998</v>
      </c>
      <c r="X421" s="13">
        <v>174910.90953727998</v>
      </c>
    </row>
    <row r="422" spans="1:24" x14ac:dyDescent="0.35">
      <c r="A422" s="34">
        <v>395</v>
      </c>
      <c r="B422" s="2">
        <v>9.1934660159876724E-2</v>
      </c>
      <c r="C422" s="91">
        <f t="shared" si="13"/>
        <v>16.710647116543296</v>
      </c>
      <c r="D422" s="13">
        <v>73685.176932346367</v>
      </c>
      <c r="E422" s="13">
        <v>70685.176932346425</v>
      </c>
      <c r="F422" s="13">
        <v>67685.176932346425</v>
      </c>
      <c r="G422" s="13">
        <v>64685.176932346425</v>
      </c>
      <c r="H422" s="13">
        <v>61685.176932346425</v>
      </c>
      <c r="I422" s="13">
        <v>58685.176932346425</v>
      </c>
      <c r="J422" s="13">
        <v>55685.176932346425</v>
      </c>
      <c r="K422" s="13">
        <v>52685.176932346425</v>
      </c>
      <c r="L422" s="13">
        <v>49685.176932346425</v>
      </c>
      <c r="M422" s="13">
        <v>46685.176932346425</v>
      </c>
      <c r="N422" s="13">
        <v>43685.176932346425</v>
      </c>
      <c r="O422" s="13">
        <v>40685.176932346425</v>
      </c>
      <c r="P422" s="13">
        <v>37685.176932346425</v>
      </c>
      <c r="Q422" s="13">
        <v>34685.176932346309</v>
      </c>
      <c r="R422" s="13">
        <v>31685.176932346309</v>
      </c>
      <c r="S422" s="13">
        <v>28685.176932346309</v>
      </c>
      <c r="T422" s="13">
        <v>25685.176932346309</v>
      </c>
      <c r="U422" s="13">
        <v>22685.176932346309</v>
      </c>
      <c r="V422" s="13">
        <v>19685.176932346309</v>
      </c>
      <c r="W422" s="13">
        <v>16685.176932346309</v>
      </c>
      <c r="X422" s="13">
        <v>13685.176932346309</v>
      </c>
    </row>
    <row r="423" spans="1:24" x14ac:dyDescent="0.35">
      <c r="A423" s="34">
        <v>396</v>
      </c>
      <c r="B423" s="2">
        <v>0.66249942733952172</v>
      </c>
      <c r="C423" s="91">
        <f t="shared" si="13"/>
        <v>34.192941857006396</v>
      </c>
      <c r="D423" s="13">
        <v>142578.8255710192</v>
      </c>
      <c r="E423" s="13">
        <v>144578.8255710192</v>
      </c>
      <c r="F423" s="13">
        <v>146578.8255710192</v>
      </c>
      <c r="G423" s="13">
        <v>148578.8255710192</v>
      </c>
      <c r="H423" s="13">
        <v>150578.8255710192</v>
      </c>
      <c r="I423" s="13">
        <v>152578.8255710192</v>
      </c>
      <c r="J423" s="13">
        <v>154578.8255710192</v>
      </c>
      <c r="K423" s="13">
        <v>156578.8255710192</v>
      </c>
      <c r="L423" s="13">
        <v>158578.8255710192</v>
      </c>
      <c r="M423" s="13">
        <v>160578.8255710192</v>
      </c>
      <c r="N423" s="13">
        <v>162578.8255710192</v>
      </c>
      <c r="O423" s="13">
        <v>164578.8255710192</v>
      </c>
      <c r="P423" s="13">
        <v>166578.8255710192</v>
      </c>
      <c r="Q423" s="13">
        <v>168578.8255710192</v>
      </c>
      <c r="R423" s="13">
        <v>170578.8255710192</v>
      </c>
      <c r="S423" s="13">
        <v>168543.53485605121</v>
      </c>
      <c r="T423" s="13">
        <v>165543.53485605121</v>
      </c>
      <c r="U423" s="13">
        <v>162543.53485605121</v>
      </c>
      <c r="V423" s="13">
        <v>159543.53485605121</v>
      </c>
      <c r="W423" s="13">
        <v>156543.53485605121</v>
      </c>
      <c r="X423" s="13">
        <v>153543.53485605121</v>
      </c>
    </row>
    <row r="424" spans="1:24" x14ac:dyDescent="0.35">
      <c r="A424" s="34">
        <v>397</v>
      </c>
      <c r="B424" s="2">
        <v>0.37360851972119224</v>
      </c>
      <c r="C424" s="91">
        <f t="shared" si="13"/>
        <v>26.776889192173101</v>
      </c>
      <c r="D424" s="13">
        <v>120330.66757651931</v>
      </c>
      <c r="E424" s="13">
        <v>122330.66757651931</v>
      </c>
      <c r="F424" s="13">
        <v>124330.66757651931</v>
      </c>
      <c r="G424" s="13">
        <v>126330.66757651931</v>
      </c>
      <c r="H424" s="13">
        <v>128330.66757651931</v>
      </c>
      <c r="I424" s="13">
        <v>130330.66757651931</v>
      </c>
      <c r="J424" s="13">
        <v>132330.66757651931</v>
      </c>
      <c r="K424" s="13">
        <v>133215.11353738478</v>
      </c>
      <c r="L424" s="13">
        <v>130215.11353738478</v>
      </c>
      <c r="M424" s="13">
        <v>127215.11353738478</v>
      </c>
      <c r="N424" s="13">
        <v>124215.11353738478</v>
      </c>
      <c r="O424" s="13">
        <v>121215.11353738478</v>
      </c>
      <c r="P424" s="13">
        <v>118215.11353738478</v>
      </c>
      <c r="Q424" s="13">
        <v>115215.11353738478</v>
      </c>
      <c r="R424" s="13">
        <v>112215.11353738478</v>
      </c>
      <c r="S424" s="13">
        <v>109215.11353738478</v>
      </c>
      <c r="T424" s="13">
        <v>106215.11353738478</v>
      </c>
      <c r="U424" s="13">
        <v>103215.11353738478</v>
      </c>
      <c r="V424" s="13">
        <v>100215.11353738478</v>
      </c>
      <c r="W424" s="13">
        <v>97215.113537384779</v>
      </c>
      <c r="X424" s="13">
        <v>94215.113537384779</v>
      </c>
    </row>
    <row r="425" spans="1:24" x14ac:dyDescent="0.35">
      <c r="A425" s="34">
        <v>398</v>
      </c>
      <c r="B425" s="2">
        <v>1.7055953441608929E-2</v>
      </c>
      <c r="C425" s="91">
        <f t="shared" si="13"/>
        <v>8.8125362538979424</v>
      </c>
      <c r="D425" s="13">
        <v>10500.290031183511</v>
      </c>
      <c r="E425" s="13">
        <v>7500.290031183511</v>
      </c>
      <c r="F425" s="13">
        <v>4500.290031183511</v>
      </c>
      <c r="G425" s="13">
        <v>1500.290031183511</v>
      </c>
      <c r="H425" s="13">
        <v>-1499.709968816489</v>
      </c>
      <c r="I425" s="13">
        <v>-4499.709968816489</v>
      </c>
      <c r="J425" s="13">
        <v>-7499.709968816489</v>
      </c>
      <c r="K425" s="13">
        <v>-10499.709968816489</v>
      </c>
      <c r="L425" s="13">
        <v>-13499.709968816489</v>
      </c>
      <c r="M425" s="13">
        <v>-16499.709968816489</v>
      </c>
      <c r="N425" s="13">
        <v>-19499.709968816489</v>
      </c>
      <c r="O425" s="13">
        <v>-22499.709968816489</v>
      </c>
      <c r="P425" s="13">
        <v>-25499.709968816489</v>
      </c>
      <c r="Q425" s="13">
        <v>-28499.709968816489</v>
      </c>
      <c r="R425" s="13">
        <v>-31499.709968816489</v>
      </c>
      <c r="S425" s="13">
        <v>-34499.709968816489</v>
      </c>
      <c r="T425" s="13">
        <v>-37499.709968816489</v>
      </c>
      <c r="U425" s="13">
        <v>-40499.709968816489</v>
      </c>
      <c r="V425" s="13">
        <v>-43499.709968816489</v>
      </c>
      <c r="W425" s="13">
        <v>-46499.709968816489</v>
      </c>
      <c r="X425" s="13">
        <v>-49499.709968816489</v>
      </c>
    </row>
    <row r="426" spans="1:24" x14ac:dyDescent="0.35">
      <c r="A426" s="34">
        <v>399</v>
      </c>
      <c r="B426" s="2">
        <v>0.33007581423545329</v>
      </c>
      <c r="C426" s="91">
        <f t="shared" si="13"/>
        <v>25.602961702751145</v>
      </c>
      <c r="D426" s="13">
        <v>116808.88510825345</v>
      </c>
      <c r="E426" s="13">
        <v>118808.88510825345</v>
      </c>
      <c r="F426" s="13">
        <v>120808.88510825345</v>
      </c>
      <c r="G426" s="13">
        <v>122808.88510825345</v>
      </c>
      <c r="H426" s="13">
        <v>124808.88510825345</v>
      </c>
      <c r="I426" s="13">
        <v>126808.88510825345</v>
      </c>
      <c r="J426" s="13">
        <v>126823.69362200913</v>
      </c>
      <c r="K426" s="13">
        <v>123823.69362200913</v>
      </c>
      <c r="L426" s="13">
        <v>120823.69362200913</v>
      </c>
      <c r="M426" s="13">
        <v>117823.69362200913</v>
      </c>
      <c r="N426" s="13">
        <v>114823.69362200913</v>
      </c>
      <c r="O426" s="13">
        <v>111823.69362200913</v>
      </c>
      <c r="P426" s="13">
        <v>108823.69362200913</v>
      </c>
      <c r="Q426" s="13">
        <v>105823.69362200913</v>
      </c>
      <c r="R426" s="13">
        <v>102823.69362200913</v>
      </c>
      <c r="S426" s="13">
        <v>99823.69362200913</v>
      </c>
      <c r="T426" s="13">
        <v>96823.69362200913</v>
      </c>
      <c r="U426" s="13">
        <v>93823.69362200913</v>
      </c>
      <c r="V426" s="13">
        <v>90823.69362200913</v>
      </c>
      <c r="W426" s="13">
        <v>87823.69362200913</v>
      </c>
      <c r="X426" s="13">
        <v>84823.69362200913</v>
      </c>
    </row>
    <row r="427" spans="1:24" x14ac:dyDescent="0.35">
      <c r="A427" s="34">
        <v>400</v>
      </c>
      <c r="B427" s="2">
        <v>0.18602953055306537</v>
      </c>
      <c r="C427" s="91">
        <f t="shared" si="13"/>
        <v>21.073769312606672</v>
      </c>
      <c r="D427" s="13">
        <v>103221.30793782003</v>
      </c>
      <c r="E427" s="13">
        <v>105221.30793782003</v>
      </c>
      <c r="F427" s="13">
        <v>102590.15450085339</v>
      </c>
      <c r="G427" s="13">
        <v>99590.154500853387</v>
      </c>
      <c r="H427" s="13">
        <v>96590.154500853387</v>
      </c>
      <c r="I427" s="13">
        <v>93590.154500853387</v>
      </c>
      <c r="J427" s="13">
        <v>90590.154500853387</v>
      </c>
      <c r="K427" s="13">
        <v>87590.154500853387</v>
      </c>
      <c r="L427" s="13">
        <v>84590.154500853387</v>
      </c>
      <c r="M427" s="13">
        <v>81590.154500853387</v>
      </c>
      <c r="N427" s="13">
        <v>78590.154500853387</v>
      </c>
      <c r="O427" s="13">
        <v>75590.154500853387</v>
      </c>
      <c r="P427" s="13">
        <v>72590.154500853387</v>
      </c>
      <c r="Q427" s="13">
        <v>69590.154500853387</v>
      </c>
      <c r="R427" s="13">
        <v>66590.154500853387</v>
      </c>
      <c r="S427" s="13">
        <v>63590.154500853387</v>
      </c>
      <c r="T427" s="13">
        <v>60590.154500853387</v>
      </c>
      <c r="U427" s="13">
        <v>57590.154500853387</v>
      </c>
      <c r="V427" s="13">
        <v>54590.154500853387</v>
      </c>
      <c r="W427" s="13">
        <v>51590.154500853387</v>
      </c>
      <c r="X427" s="13">
        <v>48590.154500853387</v>
      </c>
    </row>
    <row r="428" spans="1:24" x14ac:dyDescent="0.35">
      <c r="A428" s="34">
        <v>401</v>
      </c>
      <c r="B428" s="2">
        <v>0.87601420673408548</v>
      </c>
      <c r="C428" s="91">
        <f t="shared" si="13"/>
        <v>41.552902518477687</v>
      </c>
      <c r="D428" s="13">
        <v>164658.70755543304</v>
      </c>
      <c r="E428" s="13">
        <v>166658.70755543304</v>
      </c>
      <c r="F428" s="13">
        <v>168658.70755543304</v>
      </c>
      <c r="G428" s="13">
        <v>170658.70755543304</v>
      </c>
      <c r="H428" s="13">
        <v>172658.70755543304</v>
      </c>
      <c r="I428" s="13">
        <v>174658.70755543304</v>
      </c>
      <c r="J428" s="13">
        <v>176658.70755543304</v>
      </c>
      <c r="K428" s="13">
        <v>178658.70755543304</v>
      </c>
      <c r="L428" s="13">
        <v>180658.70755543304</v>
      </c>
      <c r="M428" s="13">
        <v>182658.70755543304</v>
      </c>
      <c r="N428" s="13">
        <v>184658.70755543304</v>
      </c>
      <c r="O428" s="13">
        <v>186658.70755543304</v>
      </c>
      <c r="P428" s="13">
        <v>188658.70755543304</v>
      </c>
      <c r="Q428" s="13">
        <v>190658.70755543304</v>
      </c>
      <c r="R428" s="13">
        <v>192658.70755543304</v>
      </c>
      <c r="S428" s="13">
        <v>194658.70755543304</v>
      </c>
      <c r="T428" s="13">
        <v>196658.70755543304</v>
      </c>
      <c r="U428" s="13">
        <v>198658.70755543304</v>
      </c>
      <c r="V428" s="13">
        <v>200658.70755543304</v>
      </c>
      <c r="W428" s="13">
        <v>202658.70755543304</v>
      </c>
      <c r="X428" s="13">
        <v>204658.70755543304</v>
      </c>
    </row>
    <row r="429" spans="1:24" x14ac:dyDescent="0.35">
      <c r="A429" s="34">
        <v>402</v>
      </c>
      <c r="B429" s="2">
        <v>0.32916283573603233</v>
      </c>
      <c r="C429" s="91">
        <f t="shared" si="13"/>
        <v>25.577739972856875</v>
      </c>
      <c r="D429" s="13">
        <v>116733.2199185706</v>
      </c>
      <c r="E429" s="13">
        <v>118733.2199185706</v>
      </c>
      <c r="F429" s="13">
        <v>120733.2199185706</v>
      </c>
      <c r="G429" s="13">
        <v>122733.2199185706</v>
      </c>
      <c r="H429" s="13">
        <v>124733.2199185706</v>
      </c>
      <c r="I429" s="13">
        <v>126733.2199185706</v>
      </c>
      <c r="J429" s="13">
        <v>126621.91978285497</v>
      </c>
      <c r="K429" s="13">
        <v>123621.91978285497</v>
      </c>
      <c r="L429" s="13">
        <v>120621.91978285497</v>
      </c>
      <c r="M429" s="13">
        <v>117621.91978285497</v>
      </c>
      <c r="N429" s="13">
        <v>114621.91978285497</v>
      </c>
      <c r="O429" s="13">
        <v>111621.91978285497</v>
      </c>
      <c r="P429" s="13">
        <v>108621.91978285497</v>
      </c>
      <c r="Q429" s="13">
        <v>105621.91978285497</v>
      </c>
      <c r="R429" s="13">
        <v>102621.91978285497</v>
      </c>
      <c r="S429" s="13">
        <v>99621.919782854966</v>
      </c>
      <c r="T429" s="13">
        <v>96621.919782854966</v>
      </c>
      <c r="U429" s="13">
        <v>93621.919782854966</v>
      </c>
      <c r="V429" s="13">
        <v>90621.919782854966</v>
      </c>
      <c r="W429" s="13">
        <v>87621.919782854966</v>
      </c>
      <c r="X429" s="13">
        <v>84621.919782854966</v>
      </c>
    </row>
    <row r="430" spans="1:24" x14ac:dyDescent="0.35">
      <c r="A430" s="34">
        <v>403</v>
      </c>
      <c r="B430" s="2">
        <v>0.27935979524742416</v>
      </c>
      <c r="C430" s="91">
        <f t="shared" si="13"/>
        <v>24.152555937285136</v>
      </c>
      <c r="D430" s="13">
        <v>112457.66781185538</v>
      </c>
      <c r="E430" s="13">
        <v>114457.66781185538</v>
      </c>
      <c r="F430" s="13">
        <v>116457.66781185538</v>
      </c>
      <c r="G430" s="13">
        <v>118457.66781185538</v>
      </c>
      <c r="H430" s="13">
        <v>120457.66781185538</v>
      </c>
      <c r="I430" s="13">
        <v>118220.44749828102</v>
      </c>
      <c r="J430" s="13">
        <v>115220.44749828102</v>
      </c>
      <c r="K430" s="13">
        <v>112220.44749828102</v>
      </c>
      <c r="L430" s="13">
        <v>109220.44749828102</v>
      </c>
      <c r="M430" s="13">
        <v>106220.44749828102</v>
      </c>
      <c r="N430" s="13">
        <v>103220.44749828102</v>
      </c>
      <c r="O430" s="13">
        <v>100220.44749828102</v>
      </c>
      <c r="P430" s="13">
        <v>97220.447498281021</v>
      </c>
      <c r="Q430" s="13">
        <v>94220.447498281021</v>
      </c>
      <c r="R430" s="13">
        <v>91220.447498281021</v>
      </c>
      <c r="S430" s="13">
        <v>88220.447498281021</v>
      </c>
      <c r="T430" s="13">
        <v>85220.447498281021</v>
      </c>
      <c r="U430" s="13">
        <v>82220.447498281021</v>
      </c>
      <c r="V430" s="13">
        <v>79220.447498281021</v>
      </c>
      <c r="W430" s="13">
        <v>76220.447498281021</v>
      </c>
      <c r="X430" s="13">
        <v>73220.447498281021</v>
      </c>
    </row>
    <row r="431" spans="1:24" x14ac:dyDescent="0.35">
      <c r="A431" s="34">
        <v>404</v>
      </c>
      <c r="B431" s="2">
        <v>0.47569068253414815</v>
      </c>
      <c r="C431" s="91">
        <f t="shared" si="13"/>
        <v>29.390278201296791</v>
      </c>
      <c r="D431" s="13">
        <v>128170.83460389043</v>
      </c>
      <c r="E431" s="13">
        <v>130170.83460389043</v>
      </c>
      <c r="F431" s="13">
        <v>132170.83460389043</v>
      </c>
      <c r="G431" s="13">
        <v>134170.83460389043</v>
      </c>
      <c r="H431" s="13">
        <v>136170.83460389031</v>
      </c>
      <c r="I431" s="13">
        <v>138170.83460389031</v>
      </c>
      <c r="J431" s="13">
        <v>140170.83460389031</v>
      </c>
      <c r="K431" s="13">
        <v>142170.83460389031</v>
      </c>
      <c r="L431" s="13">
        <v>144170.83460389031</v>
      </c>
      <c r="M431" s="13">
        <v>146170.83460389031</v>
      </c>
      <c r="N431" s="13">
        <v>145122.22561037436</v>
      </c>
      <c r="O431" s="13">
        <v>142122.22561037436</v>
      </c>
      <c r="P431" s="13">
        <v>139122.22561037436</v>
      </c>
      <c r="Q431" s="13">
        <v>136122.22561037436</v>
      </c>
      <c r="R431" s="13">
        <v>133122.22561037436</v>
      </c>
      <c r="S431" s="13">
        <v>130122.22561037436</v>
      </c>
      <c r="T431" s="13">
        <v>127122.22561037436</v>
      </c>
      <c r="U431" s="13">
        <v>124122.22561037436</v>
      </c>
      <c r="V431" s="13">
        <v>121122.22561037436</v>
      </c>
      <c r="W431" s="13">
        <v>118122.22561037436</v>
      </c>
      <c r="X431" s="13">
        <v>115122.22561037436</v>
      </c>
    </row>
    <row r="432" spans="1:24" x14ac:dyDescent="0.35">
      <c r="A432" s="34">
        <v>405</v>
      </c>
      <c r="B432" s="2">
        <v>0.37879345802148101</v>
      </c>
      <c r="C432" s="91">
        <f t="shared" si="13"/>
        <v>26.913488616703788</v>
      </c>
      <c r="D432" s="13">
        <v>120740.46585011133</v>
      </c>
      <c r="E432" s="13">
        <v>122740.46585011133</v>
      </c>
      <c r="F432" s="13">
        <v>124740.46585011133</v>
      </c>
      <c r="G432" s="13">
        <v>126740.46585011133</v>
      </c>
      <c r="H432" s="13">
        <v>128740.46585011133</v>
      </c>
      <c r="I432" s="13">
        <v>130740.46585011133</v>
      </c>
      <c r="J432" s="13">
        <v>132740.46585011133</v>
      </c>
      <c r="K432" s="13">
        <v>134307.90893363021</v>
      </c>
      <c r="L432" s="13">
        <v>131307.90893363021</v>
      </c>
      <c r="M432" s="13">
        <v>128307.90893363021</v>
      </c>
      <c r="N432" s="13">
        <v>125307.90893363021</v>
      </c>
      <c r="O432" s="13">
        <v>122307.90893363021</v>
      </c>
      <c r="P432" s="13">
        <v>119307.90893363021</v>
      </c>
      <c r="Q432" s="13">
        <v>116307.90893363021</v>
      </c>
      <c r="R432" s="13">
        <v>113307.90893363021</v>
      </c>
      <c r="S432" s="13">
        <v>110307.90893363021</v>
      </c>
      <c r="T432" s="13">
        <v>107307.90893363021</v>
      </c>
      <c r="U432" s="13">
        <v>104307.90893363021</v>
      </c>
      <c r="V432" s="13">
        <v>101307.90893363021</v>
      </c>
      <c r="W432" s="13">
        <v>98307.908933630213</v>
      </c>
      <c r="X432" s="13">
        <v>95307.908933630213</v>
      </c>
    </row>
    <row r="433" spans="1:24" x14ac:dyDescent="0.35">
      <c r="A433" s="34">
        <v>406</v>
      </c>
      <c r="B433" s="2">
        <v>0.51647839118275141</v>
      </c>
      <c r="C433" s="91">
        <f t="shared" si="13"/>
        <v>30.4131695354714</v>
      </c>
      <c r="D433" s="13">
        <v>131239.50860641419</v>
      </c>
      <c r="E433" s="13">
        <v>133239.50860641419</v>
      </c>
      <c r="F433" s="13">
        <v>135239.50860641419</v>
      </c>
      <c r="G433" s="13">
        <v>137239.50860641419</v>
      </c>
      <c r="H433" s="13">
        <v>139239.50860641419</v>
      </c>
      <c r="I433" s="13">
        <v>141239.50860641419</v>
      </c>
      <c r="J433" s="13">
        <v>143239.50860641419</v>
      </c>
      <c r="K433" s="13">
        <v>145239.50860641419</v>
      </c>
      <c r="L433" s="13">
        <v>147239.50860641419</v>
      </c>
      <c r="M433" s="13">
        <v>149239.50860641419</v>
      </c>
      <c r="N433" s="13">
        <v>151239.50860641419</v>
      </c>
      <c r="O433" s="13">
        <v>150305.35628377122</v>
      </c>
      <c r="P433" s="13">
        <v>147305.35628377122</v>
      </c>
      <c r="Q433" s="13">
        <v>144305.35628377122</v>
      </c>
      <c r="R433" s="13">
        <v>141305.35628377122</v>
      </c>
      <c r="S433" s="13">
        <v>138305.35628377122</v>
      </c>
      <c r="T433" s="13">
        <v>135305.35628377122</v>
      </c>
      <c r="U433" s="13">
        <v>132305.35628377122</v>
      </c>
      <c r="V433" s="13">
        <v>129305.35628377122</v>
      </c>
      <c r="W433" s="13">
        <v>126305.35628377122</v>
      </c>
      <c r="X433" s="13">
        <v>123305.35628377122</v>
      </c>
    </row>
    <row r="434" spans="1:24" x14ac:dyDescent="0.35">
      <c r="A434" s="34">
        <v>407</v>
      </c>
      <c r="B434" s="2">
        <v>0.12517899158756229</v>
      </c>
      <c r="C434" s="91">
        <f t="shared" si="13"/>
        <v>18.505196946033458</v>
      </c>
      <c r="D434" s="13">
        <v>88041.575568267668</v>
      </c>
      <c r="E434" s="13">
        <v>85041.575568267668</v>
      </c>
      <c r="F434" s="13">
        <v>82041.575568267668</v>
      </c>
      <c r="G434" s="13">
        <v>79041.575568267726</v>
      </c>
      <c r="H434" s="13">
        <v>76041.575568267726</v>
      </c>
      <c r="I434" s="13">
        <v>73041.575568267726</v>
      </c>
      <c r="J434" s="13">
        <v>70041.575568267726</v>
      </c>
      <c r="K434" s="13">
        <v>67041.57556826761</v>
      </c>
      <c r="L434" s="13">
        <v>64041.57556826761</v>
      </c>
      <c r="M434" s="13">
        <v>61041.57556826761</v>
      </c>
      <c r="N434" s="13">
        <v>58041.57556826761</v>
      </c>
      <c r="O434" s="13">
        <v>55041.57556826761</v>
      </c>
      <c r="P434" s="13">
        <v>52041.57556826761</v>
      </c>
      <c r="Q434" s="13">
        <v>49041.57556826761</v>
      </c>
      <c r="R434" s="13">
        <v>46041.57556826761</v>
      </c>
      <c r="S434" s="13">
        <v>43041.57556826761</v>
      </c>
      <c r="T434" s="13">
        <v>40041.57556826761</v>
      </c>
      <c r="U434" s="13">
        <v>37041.57556826761</v>
      </c>
      <c r="V434" s="13">
        <v>34041.57556826761</v>
      </c>
      <c r="W434" s="13">
        <v>31041.57556826761</v>
      </c>
      <c r="X434" s="13">
        <v>28041.57556826761</v>
      </c>
    </row>
    <row r="435" spans="1:24" x14ac:dyDescent="0.35">
      <c r="A435" s="34">
        <v>408</v>
      </c>
      <c r="B435" s="2">
        <v>0.29387388232403466</v>
      </c>
      <c r="C435" s="91">
        <f t="shared" si="13"/>
        <v>24.578973084507336</v>
      </c>
      <c r="D435" s="13">
        <v>113736.91925352206</v>
      </c>
      <c r="E435" s="13">
        <v>115736.91925352206</v>
      </c>
      <c r="F435" s="13">
        <v>117736.91925352206</v>
      </c>
      <c r="G435" s="13">
        <v>119736.91925352206</v>
      </c>
      <c r="H435" s="13">
        <v>121736.91925352206</v>
      </c>
      <c r="I435" s="13">
        <v>121631.78467605868</v>
      </c>
      <c r="J435" s="13">
        <v>118631.78467605868</v>
      </c>
      <c r="K435" s="13">
        <v>115631.78467605868</v>
      </c>
      <c r="L435" s="13">
        <v>112631.78467605868</v>
      </c>
      <c r="M435" s="13">
        <v>109631.78467605868</v>
      </c>
      <c r="N435" s="13">
        <v>106631.78467605868</v>
      </c>
      <c r="O435" s="13">
        <v>103631.78467605868</v>
      </c>
      <c r="P435" s="13">
        <v>100631.78467605868</v>
      </c>
      <c r="Q435" s="13">
        <v>97631.784676058684</v>
      </c>
      <c r="R435" s="13">
        <v>94631.784676058684</v>
      </c>
      <c r="S435" s="13">
        <v>91631.784676058684</v>
      </c>
      <c r="T435" s="13">
        <v>88631.784676058684</v>
      </c>
      <c r="U435" s="13">
        <v>85631.784676058684</v>
      </c>
      <c r="V435" s="13">
        <v>82631.784676058684</v>
      </c>
      <c r="W435" s="13">
        <v>79631.784676058684</v>
      </c>
      <c r="X435" s="13">
        <v>76631.784676058684</v>
      </c>
    </row>
    <row r="436" spans="1:24" x14ac:dyDescent="0.35">
      <c r="A436" s="34">
        <v>409</v>
      </c>
      <c r="B436" s="2">
        <v>0.37198935132855115</v>
      </c>
      <c r="C436" s="91">
        <f t="shared" si="13"/>
        <v>26.734109183103818</v>
      </c>
      <c r="D436" s="13">
        <v>120202.32754931145</v>
      </c>
      <c r="E436" s="13">
        <v>122202.32754931145</v>
      </c>
      <c r="F436" s="13">
        <v>124202.32754931145</v>
      </c>
      <c r="G436" s="13">
        <v>126202.32754931145</v>
      </c>
      <c r="H436" s="13">
        <v>128202.32754931145</v>
      </c>
      <c r="I436" s="13">
        <v>130202.32754931145</v>
      </c>
      <c r="J436" s="13">
        <v>132202.32754931145</v>
      </c>
      <c r="K436" s="13">
        <v>132872.87346483057</v>
      </c>
      <c r="L436" s="13">
        <v>129872.87346483057</v>
      </c>
      <c r="M436" s="13">
        <v>126872.87346483057</v>
      </c>
      <c r="N436" s="13">
        <v>123872.87346483057</v>
      </c>
      <c r="O436" s="13">
        <v>120872.87346483057</v>
      </c>
      <c r="P436" s="13">
        <v>117872.87346483057</v>
      </c>
      <c r="Q436" s="13">
        <v>114872.87346483057</v>
      </c>
      <c r="R436" s="13">
        <v>111872.87346483057</v>
      </c>
      <c r="S436" s="13">
        <v>108872.87346483057</v>
      </c>
      <c r="T436" s="13">
        <v>105872.87346483057</v>
      </c>
      <c r="U436" s="13">
        <v>102872.87346483057</v>
      </c>
      <c r="V436" s="13">
        <v>99872.873464830569</v>
      </c>
      <c r="W436" s="13">
        <v>96872.873464830569</v>
      </c>
      <c r="X436" s="13">
        <v>93872.873464830569</v>
      </c>
    </row>
    <row r="437" spans="1:24" x14ac:dyDescent="0.35">
      <c r="A437" s="34">
        <v>410</v>
      </c>
      <c r="B437" s="2">
        <v>0.7029973102869771</v>
      </c>
      <c r="C437" s="91">
        <f t="shared" si="13"/>
        <v>35.330407395728813</v>
      </c>
      <c r="D437" s="13">
        <v>145991.22218718647</v>
      </c>
      <c r="E437" s="13">
        <v>147991.22218718647</v>
      </c>
      <c r="F437" s="13">
        <v>149991.22218718647</v>
      </c>
      <c r="G437" s="13">
        <v>151991.22218718647</v>
      </c>
      <c r="H437" s="13">
        <v>153991.22218718647</v>
      </c>
      <c r="I437" s="13">
        <v>155991.22218718647</v>
      </c>
      <c r="J437" s="13">
        <v>157991.22218718647</v>
      </c>
      <c r="K437" s="13">
        <v>159991.22218718647</v>
      </c>
      <c r="L437" s="13">
        <v>161991.22218718647</v>
      </c>
      <c r="M437" s="13">
        <v>163991.22218718647</v>
      </c>
      <c r="N437" s="13">
        <v>165991.22218718647</v>
      </c>
      <c r="O437" s="13">
        <v>167991.22218718647</v>
      </c>
      <c r="P437" s="13">
        <v>169991.22218718647</v>
      </c>
      <c r="Q437" s="13">
        <v>171991.22218718647</v>
      </c>
      <c r="R437" s="13">
        <v>173991.22218718647</v>
      </c>
      <c r="S437" s="13">
        <v>175991.22218718647</v>
      </c>
      <c r="T437" s="13">
        <v>174643.25916583044</v>
      </c>
      <c r="U437" s="13">
        <v>171643.25916583044</v>
      </c>
      <c r="V437" s="13">
        <v>168643.25916583044</v>
      </c>
      <c r="W437" s="13">
        <v>165643.25916583044</v>
      </c>
      <c r="X437" s="13">
        <v>162643.25916583044</v>
      </c>
    </row>
    <row r="438" spans="1:24" x14ac:dyDescent="0.35">
      <c r="A438" s="34">
        <v>411</v>
      </c>
      <c r="B438" s="2">
        <v>0.6024077918327031</v>
      </c>
      <c r="C438" s="91">
        <f t="shared" si="13"/>
        <v>32.595843411368861</v>
      </c>
      <c r="D438" s="13">
        <v>137787.53023410658</v>
      </c>
      <c r="E438" s="13">
        <v>139787.53023410647</v>
      </c>
      <c r="F438" s="13">
        <v>141787.53023410647</v>
      </c>
      <c r="G438" s="13">
        <v>143787.53023410658</v>
      </c>
      <c r="H438" s="13">
        <v>145787.53023410658</v>
      </c>
      <c r="I438" s="13">
        <v>147787.53023410658</v>
      </c>
      <c r="J438" s="13">
        <v>149787.53023410658</v>
      </c>
      <c r="K438" s="13">
        <v>151787.53023410658</v>
      </c>
      <c r="L438" s="13">
        <v>153787.53023410658</v>
      </c>
      <c r="M438" s="13">
        <v>155787.53023410658</v>
      </c>
      <c r="N438" s="13">
        <v>157787.53023410658</v>
      </c>
      <c r="O438" s="13">
        <v>159787.53023410658</v>
      </c>
      <c r="P438" s="13">
        <v>161787.53023410658</v>
      </c>
      <c r="Q438" s="13">
        <v>161766.74729095097</v>
      </c>
      <c r="R438" s="13">
        <v>158766.74729095097</v>
      </c>
      <c r="S438" s="13">
        <v>155766.74729095097</v>
      </c>
      <c r="T438" s="13">
        <v>152766.74729095097</v>
      </c>
      <c r="U438" s="13">
        <v>149766.74729095097</v>
      </c>
      <c r="V438" s="13">
        <v>146766.74729095097</v>
      </c>
      <c r="W438" s="13">
        <v>143766.74729095097</v>
      </c>
      <c r="X438" s="13">
        <v>140766.74729095097</v>
      </c>
    </row>
    <row r="439" spans="1:24" x14ac:dyDescent="0.35">
      <c r="A439" s="34">
        <v>412</v>
      </c>
      <c r="B439" s="2">
        <v>0.91961237251039996</v>
      </c>
      <c r="C439" s="91">
        <f t="shared" si="13"/>
        <v>44.024689543166247</v>
      </c>
      <c r="D439" s="13">
        <v>172074.06862949871</v>
      </c>
      <c r="E439" s="13">
        <v>174074.06862949871</v>
      </c>
      <c r="F439" s="13">
        <v>176074.06862949871</v>
      </c>
      <c r="G439" s="13">
        <v>178074.06862949871</v>
      </c>
      <c r="H439" s="13">
        <v>180074.06862949871</v>
      </c>
      <c r="I439" s="13">
        <v>182074.06862949871</v>
      </c>
      <c r="J439" s="13">
        <v>184074.06862949871</v>
      </c>
      <c r="K439" s="13">
        <v>186074.06862949871</v>
      </c>
      <c r="L439" s="13">
        <v>188074.06862949871</v>
      </c>
      <c r="M439" s="13">
        <v>190074.06862949871</v>
      </c>
      <c r="N439" s="13">
        <v>192074.06862949871</v>
      </c>
      <c r="O439" s="13">
        <v>194074.06862949871</v>
      </c>
      <c r="P439" s="13">
        <v>196074.06862949871</v>
      </c>
      <c r="Q439" s="13">
        <v>198074.06862949871</v>
      </c>
      <c r="R439" s="13">
        <v>200074.06862949871</v>
      </c>
      <c r="S439" s="13">
        <v>202074.06862949871</v>
      </c>
      <c r="T439" s="13">
        <v>204074.06862949871</v>
      </c>
      <c r="U439" s="13">
        <v>206074.06862949871</v>
      </c>
      <c r="V439" s="13">
        <v>208074.06862949871</v>
      </c>
      <c r="W439" s="13">
        <v>210074.06862949871</v>
      </c>
      <c r="X439" s="13">
        <v>212074.06862949871</v>
      </c>
    </row>
    <row r="440" spans="1:24" x14ac:dyDescent="0.35">
      <c r="A440" s="34">
        <v>413</v>
      </c>
      <c r="B440" s="2">
        <v>0.46100638386762582</v>
      </c>
      <c r="C440" s="91">
        <f t="shared" si="13"/>
        <v>29.021013446509539</v>
      </c>
      <c r="D440" s="13">
        <v>127063.04033952858</v>
      </c>
      <c r="E440" s="13">
        <v>129063.04033952858</v>
      </c>
      <c r="F440" s="13">
        <v>131063.04033952858</v>
      </c>
      <c r="G440" s="13">
        <v>133063.04033952858</v>
      </c>
      <c r="H440" s="13">
        <v>135063.0403395287</v>
      </c>
      <c r="I440" s="13">
        <v>137063.0403395287</v>
      </c>
      <c r="J440" s="13">
        <v>139063.0403395287</v>
      </c>
      <c r="K440" s="13">
        <v>141063.0403395287</v>
      </c>
      <c r="L440" s="13">
        <v>143063.0403395287</v>
      </c>
      <c r="M440" s="13">
        <v>145063.0403395287</v>
      </c>
      <c r="N440" s="13">
        <v>142168.10757207638</v>
      </c>
      <c r="O440" s="13">
        <v>139168.10757207638</v>
      </c>
      <c r="P440" s="13">
        <v>136168.10757207638</v>
      </c>
      <c r="Q440" s="13">
        <v>133168.10757207638</v>
      </c>
      <c r="R440" s="13">
        <v>130168.10757207638</v>
      </c>
      <c r="S440" s="13">
        <v>127168.10757207638</v>
      </c>
      <c r="T440" s="13">
        <v>124168.10757207638</v>
      </c>
      <c r="U440" s="13">
        <v>121168.10757207638</v>
      </c>
      <c r="V440" s="13">
        <v>118168.10757207638</v>
      </c>
      <c r="W440" s="13">
        <v>115168.10757207638</v>
      </c>
      <c r="X440" s="13">
        <v>112168.10757207638</v>
      </c>
    </row>
    <row r="441" spans="1:24" x14ac:dyDescent="0.35">
      <c r="A441" s="34">
        <v>414</v>
      </c>
      <c r="B441" s="2">
        <v>0.86658462273802439</v>
      </c>
      <c r="C441" s="91">
        <f t="shared" si="13"/>
        <v>41.103905826633735</v>
      </c>
      <c r="D441" s="13">
        <v>163311.71747990127</v>
      </c>
      <c r="E441" s="13">
        <v>165311.71747990127</v>
      </c>
      <c r="F441" s="13">
        <v>167311.71747990127</v>
      </c>
      <c r="G441" s="13">
        <v>169311.71747990127</v>
      </c>
      <c r="H441" s="13">
        <v>171311.71747990127</v>
      </c>
      <c r="I441" s="13">
        <v>173311.71747990127</v>
      </c>
      <c r="J441" s="13">
        <v>175311.71747990127</v>
      </c>
      <c r="K441" s="13">
        <v>177311.71747990127</v>
      </c>
      <c r="L441" s="13">
        <v>179311.71747990127</v>
      </c>
      <c r="M441" s="13">
        <v>181311.71747990127</v>
      </c>
      <c r="N441" s="13">
        <v>183311.71747990127</v>
      </c>
      <c r="O441" s="13">
        <v>185311.71747990127</v>
      </c>
      <c r="P441" s="13">
        <v>187311.71747990127</v>
      </c>
      <c r="Q441" s="13">
        <v>189311.71747990127</v>
      </c>
      <c r="R441" s="13">
        <v>191311.71747990127</v>
      </c>
      <c r="S441" s="13">
        <v>193311.71747990127</v>
      </c>
      <c r="T441" s="13">
        <v>195311.71747990127</v>
      </c>
      <c r="U441" s="13">
        <v>197311.71747990127</v>
      </c>
      <c r="V441" s="13">
        <v>199311.71747990127</v>
      </c>
      <c r="W441" s="13">
        <v>201311.71747990127</v>
      </c>
      <c r="X441" s="13">
        <v>203311.71747990127</v>
      </c>
    </row>
    <row r="442" spans="1:24" x14ac:dyDescent="0.35">
      <c r="A442" s="34">
        <v>415</v>
      </c>
      <c r="B442" s="2">
        <v>0.86903889147267721</v>
      </c>
      <c r="C442" s="91">
        <f t="shared" si="13"/>
        <v>41.218594198206858</v>
      </c>
      <c r="D442" s="13">
        <v>163655.7825946206</v>
      </c>
      <c r="E442" s="13">
        <v>165655.7825946206</v>
      </c>
      <c r="F442" s="13">
        <v>167655.7825946206</v>
      </c>
      <c r="G442" s="13">
        <v>169655.7825946206</v>
      </c>
      <c r="H442" s="13">
        <v>171655.7825946206</v>
      </c>
      <c r="I442" s="13">
        <v>173655.7825946206</v>
      </c>
      <c r="J442" s="13">
        <v>175655.7825946206</v>
      </c>
      <c r="K442" s="13">
        <v>177655.7825946206</v>
      </c>
      <c r="L442" s="13">
        <v>179655.7825946206</v>
      </c>
      <c r="M442" s="13">
        <v>181655.7825946206</v>
      </c>
      <c r="N442" s="13">
        <v>183655.7825946206</v>
      </c>
      <c r="O442" s="13">
        <v>185655.7825946206</v>
      </c>
      <c r="P442" s="13">
        <v>187655.7825946206</v>
      </c>
      <c r="Q442" s="13">
        <v>189655.7825946206</v>
      </c>
      <c r="R442" s="13">
        <v>191655.7825946206</v>
      </c>
      <c r="S442" s="13">
        <v>193655.7825946206</v>
      </c>
      <c r="T442" s="13">
        <v>195655.7825946206</v>
      </c>
      <c r="U442" s="13">
        <v>197655.7825946206</v>
      </c>
      <c r="V442" s="13">
        <v>199655.7825946206</v>
      </c>
      <c r="W442" s="13">
        <v>201655.7825946206</v>
      </c>
      <c r="X442" s="13">
        <v>203655.7825946206</v>
      </c>
    </row>
    <row r="443" spans="1:24" x14ac:dyDescent="0.35">
      <c r="A443" s="34">
        <v>416</v>
      </c>
      <c r="B443" s="2">
        <v>0.30592680067936195</v>
      </c>
      <c r="C443" s="91">
        <f t="shared" si="13"/>
        <v>24.925706569036272</v>
      </c>
      <c r="D443" s="13">
        <v>114777.11970710882</v>
      </c>
      <c r="E443" s="13">
        <v>116777.11970710882</v>
      </c>
      <c r="F443" s="13">
        <v>118777.11970710882</v>
      </c>
      <c r="G443" s="13">
        <v>120777.11970710882</v>
      </c>
      <c r="H443" s="13">
        <v>122777.11970710882</v>
      </c>
      <c r="I443" s="13">
        <v>124405.65255229024</v>
      </c>
      <c r="J443" s="13">
        <v>121405.65255229024</v>
      </c>
      <c r="K443" s="13">
        <v>118405.65255229024</v>
      </c>
      <c r="L443" s="13">
        <v>115405.65255229024</v>
      </c>
      <c r="M443" s="13">
        <v>112405.65255229024</v>
      </c>
      <c r="N443" s="13">
        <v>109405.65255229024</v>
      </c>
      <c r="O443" s="13">
        <v>106405.65255229024</v>
      </c>
      <c r="P443" s="13">
        <v>103405.65255229024</v>
      </c>
      <c r="Q443" s="13">
        <v>100405.65255229024</v>
      </c>
      <c r="R443" s="13">
        <v>97405.652552290238</v>
      </c>
      <c r="S443" s="13">
        <v>94405.652552290238</v>
      </c>
      <c r="T443" s="13">
        <v>91405.652552290238</v>
      </c>
      <c r="U443" s="13">
        <v>88405.652552290238</v>
      </c>
      <c r="V443" s="13">
        <v>85405.652552290238</v>
      </c>
      <c r="W443" s="13">
        <v>82405.652552290238</v>
      </c>
      <c r="X443" s="13">
        <v>79405.652552290238</v>
      </c>
    </row>
    <row r="444" spans="1:24" x14ac:dyDescent="0.35">
      <c r="A444" s="34">
        <v>417</v>
      </c>
      <c r="B444" s="2">
        <v>0.89374417378007309</v>
      </c>
      <c r="C444" s="91">
        <f t="shared" si="13"/>
        <v>42.466887308991588</v>
      </c>
      <c r="D444" s="13">
        <v>167400.66192697478</v>
      </c>
      <c r="E444" s="13">
        <v>169400.66192697478</v>
      </c>
      <c r="F444" s="13">
        <v>171400.66192697478</v>
      </c>
      <c r="G444" s="13">
        <v>173400.66192697478</v>
      </c>
      <c r="H444" s="13">
        <v>175400.66192697478</v>
      </c>
      <c r="I444" s="13">
        <v>177400.66192697478</v>
      </c>
      <c r="J444" s="13">
        <v>179400.66192697478</v>
      </c>
      <c r="K444" s="13">
        <v>181400.66192697478</v>
      </c>
      <c r="L444" s="13">
        <v>183400.66192697478</v>
      </c>
      <c r="M444" s="13">
        <v>185400.66192697478</v>
      </c>
      <c r="N444" s="13">
        <v>187400.66192697478</v>
      </c>
      <c r="O444" s="13">
        <v>189400.66192697478</v>
      </c>
      <c r="P444" s="13">
        <v>191400.66192697478</v>
      </c>
      <c r="Q444" s="13">
        <v>193400.66192697478</v>
      </c>
      <c r="R444" s="13">
        <v>195400.66192697478</v>
      </c>
      <c r="S444" s="13">
        <v>197400.66192697478</v>
      </c>
      <c r="T444" s="13">
        <v>199400.66192697478</v>
      </c>
      <c r="U444" s="13">
        <v>201400.66192697478</v>
      </c>
      <c r="V444" s="13">
        <v>203400.66192697478</v>
      </c>
      <c r="W444" s="13">
        <v>205400.66192697478</v>
      </c>
      <c r="X444" s="13">
        <v>207400.66192697478</v>
      </c>
    </row>
    <row r="445" spans="1:24" x14ac:dyDescent="0.35">
      <c r="A445" s="34">
        <v>418</v>
      </c>
      <c r="B445" s="2">
        <v>0.59541944254036439</v>
      </c>
      <c r="C445" s="91">
        <f t="shared" si="13"/>
        <v>32.415083896280578</v>
      </c>
      <c r="D445" s="13">
        <v>137245.25168884173</v>
      </c>
      <c r="E445" s="13">
        <v>139245.25168884173</v>
      </c>
      <c r="F445" s="13">
        <v>141245.25168884173</v>
      </c>
      <c r="G445" s="13">
        <v>143245.25168884173</v>
      </c>
      <c r="H445" s="13">
        <v>145245.25168884173</v>
      </c>
      <c r="I445" s="13">
        <v>147245.25168884173</v>
      </c>
      <c r="J445" s="13">
        <v>149245.25168884173</v>
      </c>
      <c r="K445" s="13">
        <v>151245.25168884173</v>
      </c>
      <c r="L445" s="13">
        <v>153245.25168884173</v>
      </c>
      <c r="M445" s="13">
        <v>155245.25168884173</v>
      </c>
      <c r="N445" s="13">
        <v>157245.25168884173</v>
      </c>
      <c r="O445" s="13">
        <v>159245.25168884173</v>
      </c>
      <c r="P445" s="13">
        <v>161245.25168884173</v>
      </c>
      <c r="Q445" s="13">
        <v>160320.67117024469</v>
      </c>
      <c r="R445" s="13">
        <v>157320.67117024469</v>
      </c>
      <c r="S445" s="13">
        <v>154320.67117024469</v>
      </c>
      <c r="T445" s="13">
        <v>151320.67117024469</v>
      </c>
      <c r="U445" s="13">
        <v>148320.67117024469</v>
      </c>
      <c r="V445" s="13">
        <v>145320.67117024469</v>
      </c>
      <c r="W445" s="13">
        <v>142320.67117024469</v>
      </c>
      <c r="X445" s="13">
        <v>139320.67117024469</v>
      </c>
    </row>
    <row r="446" spans="1:24" x14ac:dyDescent="0.35">
      <c r="A446" s="34">
        <v>419</v>
      </c>
      <c r="B446" s="2">
        <v>0.96451337623683475</v>
      </c>
      <c r="C446" s="91">
        <f t="shared" si="13"/>
        <v>48.056485911543518</v>
      </c>
      <c r="D446" s="13">
        <v>184169.45773463056</v>
      </c>
      <c r="E446" s="13">
        <v>186169.45773463056</v>
      </c>
      <c r="F446" s="13">
        <v>188169.45773463056</v>
      </c>
      <c r="G446" s="13">
        <v>190169.45773463056</v>
      </c>
      <c r="H446" s="13">
        <v>192169.45773463056</v>
      </c>
      <c r="I446" s="13">
        <v>194169.45773463056</v>
      </c>
      <c r="J446" s="13">
        <v>196169.45773463056</v>
      </c>
      <c r="K446" s="13">
        <v>198169.45773463056</v>
      </c>
      <c r="L446" s="13">
        <v>200169.45773463056</v>
      </c>
      <c r="M446" s="13">
        <v>202169.45773463056</v>
      </c>
      <c r="N446" s="13">
        <v>204169.45773463056</v>
      </c>
      <c r="O446" s="13">
        <v>206169.45773463056</v>
      </c>
      <c r="P446" s="13">
        <v>208169.45773463056</v>
      </c>
      <c r="Q446" s="13">
        <v>210169.45773463056</v>
      </c>
      <c r="R446" s="13">
        <v>212169.45773463056</v>
      </c>
      <c r="S446" s="13">
        <v>214169.45773463056</v>
      </c>
      <c r="T446" s="13">
        <v>216169.45773463056</v>
      </c>
      <c r="U446" s="13">
        <v>218169.45773463056</v>
      </c>
      <c r="V446" s="13">
        <v>220169.45773463056</v>
      </c>
      <c r="W446" s="13">
        <v>222169.45773463056</v>
      </c>
      <c r="X446" s="13">
        <v>224169.45773463056</v>
      </c>
    </row>
    <row r="447" spans="1:24" x14ac:dyDescent="0.35">
      <c r="A447" s="34">
        <v>420</v>
      </c>
      <c r="B447" s="2">
        <v>0.316408922172559</v>
      </c>
      <c r="C447" s="91">
        <f t="shared" si="13"/>
        <v>25.222355190397415</v>
      </c>
      <c r="D447" s="13">
        <v>115667.0655711923</v>
      </c>
      <c r="E447" s="13">
        <v>117667.0655711923</v>
      </c>
      <c r="F447" s="13">
        <v>119667.0655711923</v>
      </c>
      <c r="G447" s="13">
        <v>121667.0655711923</v>
      </c>
      <c r="H447" s="13">
        <v>123667.0655711923</v>
      </c>
      <c r="I447" s="13">
        <v>125667.0655711923</v>
      </c>
      <c r="J447" s="13">
        <v>123778.84152317932</v>
      </c>
      <c r="K447" s="13">
        <v>120778.84152317932</v>
      </c>
      <c r="L447" s="13">
        <v>117778.84152317932</v>
      </c>
      <c r="M447" s="13">
        <v>114778.84152317932</v>
      </c>
      <c r="N447" s="13">
        <v>111778.84152317932</v>
      </c>
      <c r="O447" s="13">
        <v>108778.84152317932</v>
      </c>
      <c r="P447" s="13">
        <v>105778.84152317932</v>
      </c>
      <c r="Q447" s="13">
        <v>102778.84152317932</v>
      </c>
      <c r="R447" s="13">
        <v>99778.841523179319</v>
      </c>
      <c r="S447" s="13">
        <v>96778.841523179319</v>
      </c>
      <c r="T447" s="13">
        <v>93778.841523179319</v>
      </c>
      <c r="U447" s="13">
        <v>90778.841523179319</v>
      </c>
      <c r="V447" s="13">
        <v>87778.841523179319</v>
      </c>
      <c r="W447" s="13">
        <v>84778.841523179319</v>
      </c>
      <c r="X447" s="13">
        <v>81778.841523179319</v>
      </c>
    </row>
    <row r="448" spans="1:24" x14ac:dyDescent="0.35">
      <c r="A448" s="34">
        <v>421</v>
      </c>
      <c r="B448" s="2">
        <v>0.52149842704648186</v>
      </c>
      <c r="C448" s="91">
        <f t="shared" si="13"/>
        <v>30.5391467350046</v>
      </c>
      <c r="D448" s="13">
        <v>131617.44020501385</v>
      </c>
      <c r="E448" s="13">
        <v>133617.44020501385</v>
      </c>
      <c r="F448" s="13">
        <v>135617.44020501385</v>
      </c>
      <c r="G448" s="13">
        <v>137617.44020501385</v>
      </c>
      <c r="H448" s="13">
        <v>139617.44020501385</v>
      </c>
      <c r="I448" s="13">
        <v>141617.44020501385</v>
      </c>
      <c r="J448" s="13">
        <v>143617.44020501385</v>
      </c>
      <c r="K448" s="13">
        <v>145617.44020501385</v>
      </c>
      <c r="L448" s="13">
        <v>147617.44020501385</v>
      </c>
      <c r="M448" s="13">
        <v>149617.44020501385</v>
      </c>
      <c r="N448" s="13">
        <v>151617.44020501385</v>
      </c>
      <c r="O448" s="13">
        <v>151313.1738800368</v>
      </c>
      <c r="P448" s="13">
        <v>148313.1738800368</v>
      </c>
      <c r="Q448" s="13">
        <v>145313.1738800368</v>
      </c>
      <c r="R448" s="13">
        <v>142313.1738800368</v>
      </c>
      <c r="S448" s="13">
        <v>139313.1738800368</v>
      </c>
      <c r="T448" s="13">
        <v>136313.1738800368</v>
      </c>
      <c r="U448" s="13">
        <v>133313.1738800368</v>
      </c>
      <c r="V448" s="13">
        <v>130313.1738800368</v>
      </c>
      <c r="W448" s="13">
        <v>127313.1738800368</v>
      </c>
      <c r="X448" s="13">
        <v>124313.1738800368</v>
      </c>
    </row>
    <row r="449" spans="1:24" x14ac:dyDescent="0.35">
      <c r="A449" s="34">
        <v>422</v>
      </c>
      <c r="B449" s="2">
        <v>8.5202564836761585E-3</v>
      </c>
      <c r="C449" s="91">
        <f t="shared" si="13"/>
        <v>6.1416755595996051</v>
      </c>
      <c r="D449" s="13">
        <v>-10866.595523203141</v>
      </c>
      <c r="E449" s="13">
        <v>-13866.595523203141</v>
      </c>
      <c r="F449" s="13">
        <v>-16866.595523203141</v>
      </c>
      <c r="G449" s="13">
        <v>-19866.595523203141</v>
      </c>
      <c r="H449" s="13">
        <v>-22866.595523203141</v>
      </c>
      <c r="I449" s="13">
        <v>-25866.595523203141</v>
      </c>
      <c r="J449" s="13">
        <v>-28866.595523203141</v>
      </c>
      <c r="K449" s="13">
        <v>-31866.595523203141</v>
      </c>
      <c r="L449" s="13">
        <v>-34866.595523203141</v>
      </c>
      <c r="M449" s="13">
        <v>-37866.595523203141</v>
      </c>
      <c r="N449" s="13">
        <v>-40866.595523203141</v>
      </c>
      <c r="O449" s="13">
        <v>-43866.595523203141</v>
      </c>
      <c r="P449" s="13">
        <v>-46866.595523203141</v>
      </c>
      <c r="Q449" s="13">
        <v>-49866.595523203141</v>
      </c>
      <c r="R449" s="13">
        <v>-52866.595523203141</v>
      </c>
      <c r="S449" s="13">
        <v>-55866.595523203141</v>
      </c>
      <c r="T449" s="13">
        <v>-58866.595523203141</v>
      </c>
      <c r="U449" s="13">
        <v>-61866.595523203141</v>
      </c>
      <c r="V449" s="13">
        <v>-64866.595523203141</v>
      </c>
      <c r="W449" s="13">
        <v>-67866.595523203141</v>
      </c>
      <c r="X449" s="13">
        <v>-70866.595523203141</v>
      </c>
    </row>
    <row r="450" spans="1:24" x14ac:dyDescent="0.35">
      <c r="A450" s="34">
        <v>423</v>
      </c>
      <c r="B450" s="2">
        <v>6.3489314570803534E-2</v>
      </c>
      <c r="C450" s="91">
        <f t="shared" si="13"/>
        <v>14.738745665134203</v>
      </c>
      <c r="D450" s="13">
        <v>57909.9653210736</v>
      </c>
      <c r="E450" s="13">
        <v>54909.9653210736</v>
      </c>
      <c r="F450" s="13">
        <v>51909.9653210736</v>
      </c>
      <c r="G450" s="13">
        <v>48909.965321073658</v>
      </c>
      <c r="H450" s="13">
        <v>45909.965321073658</v>
      </c>
      <c r="I450" s="13">
        <v>42909.965321073658</v>
      </c>
      <c r="J450" s="13">
        <v>39909.965321073658</v>
      </c>
      <c r="K450" s="13">
        <v>36909.965321073658</v>
      </c>
      <c r="L450" s="13">
        <v>33909.965321073658</v>
      </c>
      <c r="M450" s="13">
        <v>30909.965321073658</v>
      </c>
      <c r="N450" s="13">
        <v>27909.965321073658</v>
      </c>
      <c r="O450" s="13">
        <v>24909.965321073541</v>
      </c>
      <c r="P450" s="13">
        <v>21909.965321073541</v>
      </c>
      <c r="Q450" s="13">
        <v>18909.965321073541</v>
      </c>
      <c r="R450" s="13">
        <v>15909.965321073541</v>
      </c>
      <c r="S450" s="13">
        <v>12909.965321073541</v>
      </c>
      <c r="T450" s="13">
        <v>9909.9653210735414</v>
      </c>
      <c r="U450" s="13">
        <v>6909.9653210735414</v>
      </c>
      <c r="V450" s="13">
        <v>3909.9653210735414</v>
      </c>
      <c r="W450" s="13">
        <v>909.96532107354142</v>
      </c>
      <c r="X450" s="13">
        <v>-2090.0346789264586</v>
      </c>
    </row>
    <row r="451" spans="1:24" x14ac:dyDescent="0.35">
      <c r="A451" s="34">
        <v>424</v>
      </c>
      <c r="B451" s="2">
        <v>0.35547635193974758</v>
      </c>
      <c r="C451" s="91">
        <f t="shared" si="13"/>
        <v>26.294231185718818</v>
      </c>
      <c r="D451" s="13">
        <v>118882.69355715637</v>
      </c>
      <c r="E451" s="13">
        <v>120882.69355715637</v>
      </c>
      <c r="F451" s="13">
        <v>122882.69355715637</v>
      </c>
      <c r="G451" s="13">
        <v>124882.69355715637</v>
      </c>
      <c r="H451" s="13">
        <v>126882.69355715637</v>
      </c>
      <c r="I451" s="13">
        <v>128882.69355715637</v>
      </c>
      <c r="J451" s="13">
        <v>130882.69355715637</v>
      </c>
      <c r="K451" s="13">
        <v>129353.84948575054</v>
      </c>
      <c r="L451" s="13">
        <v>126353.84948575054</v>
      </c>
      <c r="M451" s="13">
        <v>123353.84948575054</v>
      </c>
      <c r="N451" s="13">
        <v>120353.84948575054</v>
      </c>
      <c r="O451" s="13">
        <v>117353.84948575054</v>
      </c>
      <c r="P451" s="13">
        <v>114353.84948575054</v>
      </c>
      <c r="Q451" s="13">
        <v>111353.84948575054</v>
      </c>
      <c r="R451" s="13">
        <v>108353.84948575054</v>
      </c>
      <c r="S451" s="13">
        <v>105353.84948575054</v>
      </c>
      <c r="T451" s="13">
        <v>102353.84948575054</v>
      </c>
      <c r="U451" s="13">
        <v>99353.849485750543</v>
      </c>
      <c r="V451" s="13">
        <v>96353.849485750543</v>
      </c>
      <c r="W451" s="13">
        <v>93353.849485750543</v>
      </c>
      <c r="X451" s="13">
        <v>90353.849485750543</v>
      </c>
    </row>
    <row r="452" spans="1:24" x14ac:dyDescent="0.35">
      <c r="A452" s="34">
        <v>425</v>
      </c>
      <c r="B452" s="2">
        <v>0.64168327737118558</v>
      </c>
      <c r="C452" s="91">
        <f t="shared" si="13"/>
        <v>33.629617666343904</v>
      </c>
      <c r="D452" s="13">
        <v>140888.85299903178</v>
      </c>
      <c r="E452" s="13">
        <v>142888.85299903178</v>
      </c>
      <c r="F452" s="13">
        <v>144888.85299903178</v>
      </c>
      <c r="G452" s="13">
        <v>146888.85299903178</v>
      </c>
      <c r="H452" s="13">
        <v>148888.85299903178</v>
      </c>
      <c r="I452" s="13">
        <v>150888.85299903178</v>
      </c>
      <c r="J452" s="13">
        <v>152888.85299903178</v>
      </c>
      <c r="K452" s="13">
        <v>154888.85299903178</v>
      </c>
      <c r="L452" s="13">
        <v>156888.85299903178</v>
      </c>
      <c r="M452" s="13">
        <v>158888.85299903166</v>
      </c>
      <c r="N452" s="13">
        <v>160888.85299903166</v>
      </c>
      <c r="O452" s="13">
        <v>162888.85299903166</v>
      </c>
      <c r="P452" s="13">
        <v>164888.85299903166</v>
      </c>
      <c r="Q452" s="13">
        <v>166888.85299903166</v>
      </c>
      <c r="R452" s="13">
        <v>167036.94133075117</v>
      </c>
      <c r="S452" s="13">
        <v>164036.94133075117</v>
      </c>
      <c r="T452" s="13">
        <v>161036.94133075117</v>
      </c>
      <c r="U452" s="13">
        <v>158036.94133075117</v>
      </c>
      <c r="V452" s="13">
        <v>155036.94133075117</v>
      </c>
      <c r="W452" s="13">
        <v>152036.94133075117</v>
      </c>
      <c r="X452" s="13">
        <v>149036.94133075117</v>
      </c>
    </row>
    <row r="453" spans="1:24" x14ac:dyDescent="0.35">
      <c r="A453" s="34">
        <v>426</v>
      </c>
      <c r="B453" s="2">
        <v>0.64828596299435093</v>
      </c>
      <c r="C453" s="91">
        <f t="shared" si="13"/>
        <v>33.806970285484844</v>
      </c>
      <c r="D453" s="13">
        <v>141420.91085645463</v>
      </c>
      <c r="E453" s="13">
        <v>143420.91085645463</v>
      </c>
      <c r="F453" s="13">
        <v>145420.91085645463</v>
      </c>
      <c r="G453" s="13">
        <v>147420.91085645463</v>
      </c>
      <c r="H453" s="13">
        <v>149420.91085645463</v>
      </c>
      <c r="I453" s="13">
        <v>151420.91085645463</v>
      </c>
      <c r="J453" s="13">
        <v>153420.91085645463</v>
      </c>
      <c r="K453" s="13">
        <v>155420.91085645463</v>
      </c>
      <c r="L453" s="13">
        <v>157420.91085645463</v>
      </c>
      <c r="M453" s="13">
        <v>159420.91085645463</v>
      </c>
      <c r="N453" s="13">
        <v>161420.91085645463</v>
      </c>
      <c r="O453" s="13">
        <v>163420.91085645463</v>
      </c>
      <c r="P453" s="13">
        <v>165420.91085645463</v>
      </c>
      <c r="Q453" s="13">
        <v>167420.91085645463</v>
      </c>
      <c r="R453" s="13">
        <v>168455.76228387887</v>
      </c>
      <c r="S453" s="13">
        <v>165455.76228387887</v>
      </c>
      <c r="T453" s="13">
        <v>162455.76228387887</v>
      </c>
      <c r="U453" s="13">
        <v>159455.76228387887</v>
      </c>
      <c r="V453" s="13">
        <v>156455.76228387887</v>
      </c>
      <c r="W453" s="13">
        <v>153455.76228387887</v>
      </c>
      <c r="X453" s="13">
        <v>150455.76228387887</v>
      </c>
    </row>
    <row r="454" spans="1:24" x14ac:dyDescent="0.35">
      <c r="A454" s="34">
        <v>427</v>
      </c>
      <c r="B454" s="2">
        <v>0.24707070502865813</v>
      </c>
      <c r="C454" s="91">
        <f t="shared" si="13"/>
        <v>23.162632456155904</v>
      </c>
      <c r="D454" s="13">
        <v>109487.8973684677</v>
      </c>
      <c r="E454" s="13">
        <v>111487.8973684677</v>
      </c>
      <c r="F454" s="13">
        <v>113487.8973684677</v>
      </c>
      <c r="G454" s="13">
        <v>115487.8973684677</v>
      </c>
      <c r="H454" s="13">
        <v>113301.05964924721</v>
      </c>
      <c r="I454" s="13">
        <v>110301.05964924721</v>
      </c>
      <c r="J454" s="13">
        <v>107301.05964924721</v>
      </c>
      <c r="K454" s="13">
        <v>104301.05964924721</v>
      </c>
      <c r="L454" s="13">
        <v>101301.05964924721</v>
      </c>
      <c r="M454" s="13">
        <v>98301.05964924721</v>
      </c>
      <c r="N454" s="13">
        <v>95301.05964924721</v>
      </c>
      <c r="O454" s="13">
        <v>92301.05964924721</v>
      </c>
      <c r="P454" s="13">
        <v>89301.05964924721</v>
      </c>
      <c r="Q454" s="13">
        <v>86301.05964924721</v>
      </c>
      <c r="R454" s="13">
        <v>83301.05964924721</v>
      </c>
      <c r="S454" s="13">
        <v>80301.05964924721</v>
      </c>
      <c r="T454" s="13">
        <v>77301.05964924721</v>
      </c>
      <c r="U454" s="13">
        <v>74301.05964924721</v>
      </c>
      <c r="V454" s="13">
        <v>71301.05964924721</v>
      </c>
      <c r="W454" s="13">
        <v>68301.05964924721</v>
      </c>
      <c r="X454" s="13">
        <v>65301.05964924721</v>
      </c>
    </row>
    <row r="455" spans="1:24" x14ac:dyDescent="0.35">
      <c r="A455" s="34">
        <v>428</v>
      </c>
      <c r="B455" s="2">
        <v>0.6302743421100625</v>
      </c>
      <c r="C455" s="91">
        <f t="shared" si="13"/>
        <v>33.325800353070832</v>
      </c>
      <c r="D455" s="13">
        <v>139977.40105921251</v>
      </c>
      <c r="E455" s="13">
        <v>141977.40105921251</v>
      </c>
      <c r="F455" s="13">
        <v>143977.40105921251</v>
      </c>
      <c r="G455" s="13">
        <v>145977.40105921251</v>
      </c>
      <c r="H455" s="13">
        <v>147977.40105921251</v>
      </c>
      <c r="I455" s="13">
        <v>149977.40105921251</v>
      </c>
      <c r="J455" s="13">
        <v>151977.40105921251</v>
      </c>
      <c r="K455" s="13">
        <v>153977.40105921251</v>
      </c>
      <c r="L455" s="13">
        <v>155977.40105921251</v>
      </c>
      <c r="M455" s="13">
        <v>157977.40105921251</v>
      </c>
      <c r="N455" s="13">
        <v>159977.40105921251</v>
      </c>
      <c r="O455" s="13">
        <v>161977.40105921251</v>
      </c>
      <c r="P455" s="13">
        <v>163977.40105921251</v>
      </c>
      <c r="Q455" s="13">
        <v>165977.40105921251</v>
      </c>
      <c r="R455" s="13">
        <v>164606.4028245667</v>
      </c>
      <c r="S455" s="13">
        <v>161606.4028245667</v>
      </c>
      <c r="T455" s="13">
        <v>158606.4028245667</v>
      </c>
      <c r="U455" s="13">
        <v>155606.4028245667</v>
      </c>
      <c r="V455" s="13">
        <v>152606.4028245667</v>
      </c>
      <c r="W455" s="13">
        <v>149606.4028245667</v>
      </c>
      <c r="X455" s="13">
        <v>146606.4028245667</v>
      </c>
    </row>
    <row r="456" spans="1:24" x14ac:dyDescent="0.35">
      <c r="A456" s="34">
        <v>429</v>
      </c>
      <c r="B456" s="2">
        <v>3.0920024841195604E-2</v>
      </c>
      <c r="C456" s="91">
        <f t="shared" si="13"/>
        <v>11.32559149855275</v>
      </c>
      <c r="D456" s="13">
        <v>30604.731988421991</v>
      </c>
      <c r="E456" s="13">
        <v>27604.731988421991</v>
      </c>
      <c r="F456" s="13">
        <v>24604.731988421991</v>
      </c>
      <c r="G456" s="13">
        <v>21604.731988421991</v>
      </c>
      <c r="H456" s="13">
        <v>18604.731988421991</v>
      </c>
      <c r="I456" s="13">
        <v>15604.731988421991</v>
      </c>
      <c r="J456" s="13">
        <v>12604.731988421991</v>
      </c>
      <c r="K456" s="13">
        <v>9604.7319884219905</v>
      </c>
      <c r="L456" s="13">
        <v>6604.7319884219905</v>
      </c>
      <c r="M456" s="13">
        <v>3604.7319884219905</v>
      </c>
      <c r="N456" s="13">
        <v>604.73198842199054</v>
      </c>
      <c r="O456" s="13">
        <v>-2395.2680115780095</v>
      </c>
      <c r="P456" s="13">
        <v>-5395.2680115780095</v>
      </c>
      <c r="Q456" s="13">
        <v>-8395.2680115780095</v>
      </c>
      <c r="R456" s="13">
        <v>-11395.268011578009</v>
      </c>
      <c r="S456" s="13">
        <v>-14395.268011578009</v>
      </c>
      <c r="T456" s="13">
        <v>-17395.268011578009</v>
      </c>
      <c r="U456" s="13">
        <v>-20395.268011578009</v>
      </c>
      <c r="V456" s="13">
        <v>-23395.268011578009</v>
      </c>
      <c r="W456" s="13">
        <v>-26395.268011578009</v>
      </c>
      <c r="X456" s="13">
        <v>-29395.268011578009</v>
      </c>
    </row>
    <row r="457" spans="1:24" x14ac:dyDescent="0.35">
      <c r="A457" s="34">
        <v>430</v>
      </c>
      <c r="B457" s="2">
        <v>3.8955916021774728E-2</v>
      </c>
      <c r="C457" s="91">
        <f t="shared" si="13"/>
        <v>12.370672463443846</v>
      </c>
      <c r="D457" s="13">
        <v>38965.379707550746</v>
      </c>
      <c r="E457" s="13">
        <v>35965.379707550746</v>
      </c>
      <c r="F457" s="13">
        <v>32965.379707550746</v>
      </c>
      <c r="G457" s="13">
        <v>29965.379707550746</v>
      </c>
      <c r="H457" s="13">
        <v>26965.379707550746</v>
      </c>
      <c r="I457" s="13">
        <v>23965.379707550746</v>
      </c>
      <c r="J457" s="13">
        <v>20965.379707550746</v>
      </c>
      <c r="K457" s="13">
        <v>17965.379707550746</v>
      </c>
      <c r="L457" s="13">
        <v>14965.379707550746</v>
      </c>
      <c r="M457" s="13">
        <v>11965.379707550746</v>
      </c>
      <c r="N457" s="13">
        <v>8965.3797075507464</v>
      </c>
      <c r="O457" s="13">
        <v>5965.3797075507464</v>
      </c>
      <c r="P457" s="13">
        <v>2965.3797075507464</v>
      </c>
      <c r="Q457" s="13">
        <v>-34.620292449253611</v>
      </c>
      <c r="R457" s="13">
        <v>-3034.6202924492536</v>
      </c>
      <c r="S457" s="13">
        <v>-6034.6202924492536</v>
      </c>
      <c r="T457" s="13">
        <v>-9034.6202924492536</v>
      </c>
      <c r="U457" s="13">
        <v>-12034.620292449254</v>
      </c>
      <c r="V457" s="13">
        <v>-15034.620292449254</v>
      </c>
      <c r="W457" s="13">
        <v>-18034.620292449254</v>
      </c>
      <c r="X457" s="13">
        <v>-21034.620292449254</v>
      </c>
    </row>
    <row r="458" spans="1:24" x14ac:dyDescent="0.35">
      <c r="A458" s="34">
        <v>431</v>
      </c>
      <c r="B458" s="2">
        <v>0.32306725404660153</v>
      </c>
      <c r="C458" s="91">
        <f t="shared" si="13"/>
        <v>25.408612175113639</v>
      </c>
      <c r="D458" s="13">
        <v>116225.83652534091</v>
      </c>
      <c r="E458" s="13">
        <v>118225.83652534091</v>
      </c>
      <c r="F458" s="13">
        <v>120225.83652534091</v>
      </c>
      <c r="G458" s="13">
        <v>122225.83652534091</v>
      </c>
      <c r="H458" s="13">
        <v>124225.83652534091</v>
      </c>
      <c r="I458" s="13">
        <v>126225.83652534091</v>
      </c>
      <c r="J458" s="13">
        <v>125268.8974009091</v>
      </c>
      <c r="K458" s="13">
        <v>122268.8974009091</v>
      </c>
      <c r="L458" s="13">
        <v>119268.8974009091</v>
      </c>
      <c r="M458" s="13">
        <v>116268.8974009091</v>
      </c>
      <c r="N458" s="13">
        <v>113268.8974009091</v>
      </c>
      <c r="O458" s="13">
        <v>110268.8974009091</v>
      </c>
      <c r="P458" s="13">
        <v>107268.8974009091</v>
      </c>
      <c r="Q458" s="13">
        <v>104268.8974009091</v>
      </c>
      <c r="R458" s="13">
        <v>101268.8974009091</v>
      </c>
      <c r="S458" s="13">
        <v>98268.897400909103</v>
      </c>
      <c r="T458" s="13">
        <v>95268.897400909103</v>
      </c>
      <c r="U458" s="13">
        <v>92268.897400909103</v>
      </c>
      <c r="V458" s="13">
        <v>89268.897400909103</v>
      </c>
      <c r="W458" s="13">
        <v>86268.897400909103</v>
      </c>
      <c r="X458" s="13">
        <v>83268.897400909103</v>
      </c>
    </row>
    <row r="459" spans="1:24" x14ac:dyDescent="0.35">
      <c r="A459" s="34">
        <v>432</v>
      </c>
      <c r="B459" s="2">
        <v>0.12032432630931789</v>
      </c>
      <c r="C459" s="91">
        <f t="shared" si="13"/>
        <v>18.266329696647965</v>
      </c>
      <c r="D459" s="13">
        <v>86130.637573183747</v>
      </c>
      <c r="E459" s="13">
        <v>83130.637573183747</v>
      </c>
      <c r="F459" s="13">
        <v>80130.637573183747</v>
      </c>
      <c r="G459" s="13">
        <v>77130.637573183747</v>
      </c>
      <c r="H459" s="13">
        <v>74130.637573183747</v>
      </c>
      <c r="I459" s="13">
        <v>71130.637573183747</v>
      </c>
      <c r="J459" s="13">
        <v>68130.637573183747</v>
      </c>
      <c r="K459" s="13">
        <v>65130.637573183747</v>
      </c>
      <c r="L459" s="13">
        <v>62130.637573183747</v>
      </c>
      <c r="M459" s="13">
        <v>59130.637573183747</v>
      </c>
      <c r="N459" s="13">
        <v>56130.637573183747</v>
      </c>
      <c r="O459" s="13">
        <v>53130.637573183747</v>
      </c>
      <c r="P459" s="13">
        <v>50130.637573183747</v>
      </c>
      <c r="Q459" s="13">
        <v>47130.637573183747</v>
      </c>
      <c r="R459" s="13">
        <v>44130.637573183747</v>
      </c>
      <c r="S459" s="13">
        <v>41130.637573183747</v>
      </c>
      <c r="T459" s="13">
        <v>38130.637573183747</v>
      </c>
      <c r="U459" s="13">
        <v>35130.637573183747</v>
      </c>
      <c r="V459" s="13">
        <v>32130.637573183747</v>
      </c>
      <c r="W459" s="13">
        <v>29130.637573183747</v>
      </c>
      <c r="X459" s="13">
        <v>26130.637573183747</v>
      </c>
    </row>
    <row r="460" spans="1:24" x14ac:dyDescent="0.35">
      <c r="A460" s="34">
        <v>433</v>
      </c>
      <c r="B460" s="2">
        <v>3.9127839032747858E-2</v>
      </c>
      <c r="C460" s="91">
        <f t="shared" si="13"/>
        <v>12.391020564594296</v>
      </c>
      <c r="D460" s="13">
        <v>39128.16451675439</v>
      </c>
      <c r="E460" s="13">
        <v>36128.16451675439</v>
      </c>
      <c r="F460" s="13">
        <v>33128.16451675439</v>
      </c>
      <c r="G460" s="13">
        <v>30128.16451675439</v>
      </c>
      <c r="H460" s="13">
        <v>27128.16451675439</v>
      </c>
      <c r="I460" s="13">
        <v>24128.16451675439</v>
      </c>
      <c r="J460" s="13">
        <v>21128.164516754448</v>
      </c>
      <c r="K460" s="13">
        <v>18128.164516754448</v>
      </c>
      <c r="L460" s="13">
        <v>15128.164516754448</v>
      </c>
      <c r="M460" s="13">
        <v>12128.164516754448</v>
      </c>
      <c r="N460" s="13">
        <v>9128.1645167544484</v>
      </c>
      <c r="O460" s="13">
        <v>6128.1645167544484</v>
      </c>
      <c r="P460" s="13">
        <v>3128.1645167544484</v>
      </c>
      <c r="Q460" s="13">
        <v>128.16451675444841</v>
      </c>
      <c r="R460" s="13">
        <v>-2871.8354832455516</v>
      </c>
      <c r="S460" s="13">
        <v>-5871.8354832455516</v>
      </c>
      <c r="T460" s="13">
        <v>-8871.8354832455516</v>
      </c>
      <c r="U460" s="13">
        <v>-11871.835483245552</v>
      </c>
      <c r="V460" s="13">
        <v>-14871.835483245552</v>
      </c>
      <c r="W460" s="13">
        <v>-17871.835483245552</v>
      </c>
      <c r="X460" s="13">
        <v>-20871.835483245552</v>
      </c>
    </row>
    <row r="461" spans="1:24" x14ac:dyDescent="0.35">
      <c r="A461" s="34">
        <v>434</v>
      </c>
      <c r="B461" s="2">
        <v>0.81163516985515405</v>
      </c>
      <c r="C461" s="91">
        <f t="shared" si="13"/>
        <v>38.839380413252556</v>
      </c>
      <c r="D461" s="13">
        <v>156518.14123975765</v>
      </c>
      <c r="E461" s="13">
        <v>158518.14123975765</v>
      </c>
      <c r="F461" s="13">
        <v>160518.14123975765</v>
      </c>
      <c r="G461" s="13">
        <v>162518.14123975765</v>
      </c>
      <c r="H461" s="13">
        <v>164518.14123975765</v>
      </c>
      <c r="I461" s="13">
        <v>166518.14123975765</v>
      </c>
      <c r="J461" s="13">
        <v>168518.14123975765</v>
      </c>
      <c r="K461" s="13">
        <v>170518.14123975765</v>
      </c>
      <c r="L461" s="13">
        <v>172518.14123975765</v>
      </c>
      <c r="M461" s="13">
        <v>174518.14123975777</v>
      </c>
      <c r="N461" s="13">
        <v>176518.14123975777</v>
      </c>
      <c r="O461" s="13">
        <v>178518.14123975777</v>
      </c>
      <c r="P461" s="13">
        <v>180518.14123975777</v>
      </c>
      <c r="Q461" s="13">
        <v>182518.14123975777</v>
      </c>
      <c r="R461" s="13">
        <v>184518.14123975777</v>
      </c>
      <c r="S461" s="13">
        <v>186518.14123975777</v>
      </c>
      <c r="T461" s="13">
        <v>188518.14123975777</v>
      </c>
      <c r="U461" s="13">
        <v>190518.14123975777</v>
      </c>
      <c r="V461" s="13">
        <v>192518.14123975777</v>
      </c>
      <c r="W461" s="13">
        <v>193715.04330602044</v>
      </c>
      <c r="X461" s="13">
        <v>190715.04330602044</v>
      </c>
    </row>
    <row r="462" spans="1:24" x14ac:dyDescent="0.35">
      <c r="A462" s="34">
        <v>435</v>
      </c>
      <c r="B462" s="2">
        <v>0.58854527797748979</v>
      </c>
      <c r="C462" s="91">
        <f t="shared" si="13"/>
        <v>32.238044797525752</v>
      </c>
      <c r="D462" s="13">
        <v>136714.13439257722</v>
      </c>
      <c r="E462" s="13">
        <v>138714.13439257722</v>
      </c>
      <c r="F462" s="13">
        <v>140714.13439257722</v>
      </c>
      <c r="G462" s="13">
        <v>142714.13439257722</v>
      </c>
      <c r="H462" s="13">
        <v>144714.13439257722</v>
      </c>
      <c r="I462" s="13">
        <v>146714.13439257722</v>
      </c>
      <c r="J462" s="13">
        <v>148714.13439257722</v>
      </c>
      <c r="K462" s="13">
        <v>150714.13439257722</v>
      </c>
      <c r="L462" s="13">
        <v>152714.13439257722</v>
      </c>
      <c r="M462" s="13">
        <v>154714.13439257722</v>
      </c>
      <c r="N462" s="13">
        <v>156714.13439257722</v>
      </c>
      <c r="O462" s="13">
        <v>158714.13439257722</v>
      </c>
      <c r="P462" s="13">
        <v>160714.13439257722</v>
      </c>
      <c r="Q462" s="13">
        <v>158904.35838020593</v>
      </c>
      <c r="R462" s="13">
        <v>155904.35838020593</v>
      </c>
      <c r="S462" s="13">
        <v>152904.35838020593</v>
      </c>
      <c r="T462" s="13">
        <v>149904.35838020593</v>
      </c>
      <c r="U462" s="13">
        <v>146904.35838020593</v>
      </c>
      <c r="V462" s="13">
        <v>143904.35838020593</v>
      </c>
      <c r="W462" s="13">
        <v>140904.35838020593</v>
      </c>
      <c r="X462" s="13">
        <v>137904.35838020593</v>
      </c>
    </row>
    <row r="463" spans="1:24" x14ac:dyDescent="0.35">
      <c r="A463" s="34">
        <v>436</v>
      </c>
      <c r="B463" s="2">
        <v>0.68942175960609842</v>
      </c>
      <c r="C463" s="91">
        <f t="shared" si="13"/>
        <v>34.942119788083374</v>
      </c>
      <c r="D463" s="13">
        <v>144826.35936425009</v>
      </c>
      <c r="E463" s="13">
        <v>146826.35936425009</v>
      </c>
      <c r="F463" s="13">
        <v>148826.35936425009</v>
      </c>
      <c r="G463" s="13">
        <v>150826.35936425009</v>
      </c>
      <c r="H463" s="13">
        <v>152826.35936425009</v>
      </c>
      <c r="I463" s="13">
        <v>154826.35936425009</v>
      </c>
      <c r="J463" s="13">
        <v>156826.35936425009</v>
      </c>
      <c r="K463" s="13">
        <v>158826.35936425009</v>
      </c>
      <c r="L463" s="13">
        <v>160826.35936425009</v>
      </c>
      <c r="M463" s="13">
        <v>162826.35936425009</v>
      </c>
      <c r="N463" s="13">
        <v>164826.35936425009</v>
      </c>
      <c r="O463" s="13">
        <v>166826.35936425009</v>
      </c>
      <c r="P463" s="13">
        <v>168826.35936425009</v>
      </c>
      <c r="Q463" s="13">
        <v>170826.35936425009</v>
      </c>
      <c r="R463" s="13">
        <v>172826.35936425009</v>
      </c>
      <c r="S463" s="13">
        <v>174536.95830466703</v>
      </c>
      <c r="T463" s="13">
        <v>171536.95830466691</v>
      </c>
      <c r="U463" s="13">
        <v>168536.95830466691</v>
      </c>
      <c r="V463" s="13">
        <v>165536.95830466691</v>
      </c>
      <c r="W463" s="13">
        <v>162536.95830466691</v>
      </c>
      <c r="X463" s="13">
        <v>159536.95830466691</v>
      </c>
    </row>
    <row r="464" spans="1:24" x14ac:dyDescent="0.35">
      <c r="A464" s="34">
        <v>437</v>
      </c>
      <c r="B464" s="2">
        <v>0.80850954682329723</v>
      </c>
      <c r="C464" s="91">
        <f t="shared" si="13"/>
        <v>38.724170427910416</v>
      </c>
      <c r="D464" s="13">
        <v>156172.51128373132</v>
      </c>
      <c r="E464" s="13">
        <v>158172.51128373132</v>
      </c>
      <c r="F464" s="13">
        <v>160172.51128373132</v>
      </c>
      <c r="G464" s="13">
        <v>162172.51128373132</v>
      </c>
      <c r="H464" s="13">
        <v>164172.51128373132</v>
      </c>
      <c r="I464" s="13">
        <v>166172.51128373132</v>
      </c>
      <c r="J464" s="13">
        <v>168172.51128373132</v>
      </c>
      <c r="K464" s="13">
        <v>170172.5112837312</v>
      </c>
      <c r="L464" s="13">
        <v>172172.5112837312</v>
      </c>
      <c r="M464" s="13">
        <v>174172.5112837312</v>
      </c>
      <c r="N464" s="13">
        <v>176172.5112837312</v>
      </c>
      <c r="O464" s="13">
        <v>178172.5112837312</v>
      </c>
      <c r="P464" s="13">
        <v>180172.5112837312</v>
      </c>
      <c r="Q464" s="13">
        <v>182172.5112837312</v>
      </c>
      <c r="R464" s="13">
        <v>184172.5112837312</v>
      </c>
      <c r="S464" s="13">
        <v>186172.5112837312</v>
      </c>
      <c r="T464" s="13">
        <v>188172.5112837312</v>
      </c>
      <c r="U464" s="13">
        <v>190172.5112837312</v>
      </c>
      <c r="V464" s="13">
        <v>192172.5112837312</v>
      </c>
      <c r="W464" s="13">
        <v>192793.36342328333</v>
      </c>
      <c r="X464" s="13">
        <v>189793.36342328333</v>
      </c>
    </row>
    <row r="465" spans="1:24" x14ac:dyDescent="0.35">
      <c r="A465" s="34">
        <v>438</v>
      </c>
      <c r="B465" s="2">
        <v>0.24554444411938059</v>
      </c>
      <c r="C465" s="91">
        <f t="shared" si="13"/>
        <v>23.114220297207972</v>
      </c>
      <c r="D465" s="13">
        <v>109342.66089162393</v>
      </c>
      <c r="E465" s="13">
        <v>111342.66089162393</v>
      </c>
      <c r="F465" s="13">
        <v>113342.66089162393</v>
      </c>
      <c r="G465" s="13">
        <v>115342.66089162393</v>
      </c>
      <c r="H465" s="13">
        <v>112913.76237766375</v>
      </c>
      <c r="I465" s="13">
        <v>109913.76237766375</v>
      </c>
      <c r="J465" s="13">
        <v>106913.76237766375</v>
      </c>
      <c r="K465" s="13">
        <v>103913.76237766375</v>
      </c>
      <c r="L465" s="13">
        <v>100913.76237766375</v>
      </c>
      <c r="M465" s="13">
        <v>97913.762377663748</v>
      </c>
      <c r="N465" s="13">
        <v>94913.762377663748</v>
      </c>
      <c r="O465" s="13">
        <v>91913.762377663748</v>
      </c>
      <c r="P465" s="13">
        <v>88913.762377663748</v>
      </c>
      <c r="Q465" s="13">
        <v>85913.762377663748</v>
      </c>
      <c r="R465" s="13">
        <v>82913.762377663748</v>
      </c>
      <c r="S465" s="13">
        <v>79913.762377663748</v>
      </c>
      <c r="T465" s="13">
        <v>76913.762377663748</v>
      </c>
      <c r="U465" s="13">
        <v>73913.762377663748</v>
      </c>
      <c r="V465" s="13">
        <v>70913.762377663748</v>
      </c>
      <c r="W465" s="13">
        <v>67913.762377663748</v>
      </c>
      <c r="X465" s="13">
        <v>64913.762377663748</v>
      </c>
    </row>
    <row r="466" spans="1:24" x14ac:dyDescent="0.35">
      <c r="A466" s="34">
        <v>439</v>
      </c>
      <c r="B466" s="2">
        <v>0.49072226349477743</v>
      </c>
      <c r="C466" s="91">
        <f t="shared" si="13"/>
        <v>29.767420666969155</v>
      </c>
      <c r="D466" s="13">
        <v>129302.26200090756</v>
      </c>
      <c r="E466" s="13">
        <v>131302.26200090756</v>
      </c>
      <c r="F466" s="13">
        <v>133302.26200090756</v>
      </c>
      <c r="G466" s="13">
        <v>135302.26200090756</v>
      </c>
      <c r="H466" s="13">
        <v>137302.26200090756</v>
      </c>
      <c r="I466" s="13">
        <v>139302.26200090745</v>
      </c>
      <c r="J466" s="13">
        <v>141302.26200090745</v>
      </c>
      <c r="K466" s="13">
        <v>143302.26200090745</v>
      </c>
      <c r="L466" s="13">
        <v>145302.26200090745</v>
      </c>
      <c r="M466" s="13">
        <v>147302.26200090745</v>
      </c>
      <c r="N466" s="13">
        <v>148139.36533575319</v>
      </c>
      <c r="O466" s="13">
        <v>145139.36533575319</v>
      </c>
      <c r="P466" s="13">
        <v>142139.36533575319</v>
      </c>
      <c r="Q466" s="13">
        <v>139139.36533575319</v>
      </c>
      <c r="R466" s="13">
        <v>136139.36533575319</v>
      </c>
      <c r="S466" s="13">
        <v>133139.36533575319</v>
      </c>
      <c r="T466" s="13">
        <v>130139.36533575319</v>
      </c>
      <c r="U466" s="13">
        <v>127139.36533575319</v>
      </c>
      <c r="V466" s="13">
        <v>124139.36533575319</v>
      </c>
      <c r="W466" s="13">
        <v>121139.36533575319</v>
      </c>
      <c r="X466" s="13">
        <v>118139.36533575319</v>
      </c>
    </row>
    <row r="467" spans="1:24" x14ac:dyDescent="0.35">
      <c r="A467" s="34">
        <v>440</v>
      </c>
      <c r="B467" s="2">
        <v>0.26299865512112952</v>
      </c>
      <c r="C467" s="91">
        <f t="shared" si="13"/>
        <v>23.658720296355426</v>
      </c>
      <c r="D467" s="13">
        <v>110976.16088906629</v>
      </c>
      <c r="E467" s="13">
        <v>112976.16088906629</v>
      </c>
      <c r="F467" s="13">
        <v>114976.16088906629</v>
      </c>
      <c r="G467" s="13">
        <v>116976.16088906623</v>
      </c>
      <c r="H467" s="13">
        <v>117269.76237084344</v>
      </c>
      <c r="I467" s="13">
        <v>114269.76237084344</v>
      </c>
      <c r="J467" s="13">
        <v>111269.76237084344</v>
      </c>
      <c r="K467" s="13">
        <v>108269.76237084344</v>
      </c>
      <c r="L467" s="13">
        <v>105269.76237084344</v>
      </c>
      <c r="M467" s="13">
        <v>102269.76237084344</v>
      </c>
      <c r="N467" s="13">
        <v>99269.76237084344</v>
      </c>
      <c r="O467" s="13">
        <v>96269.76237084344</v>
      </c>
      <c r="P467" s="13">
        <v>93269.76237084344</v>
      </c>
      <c r="Q467" s="13">
        <v>90269.76237084344</v>
      </c>
      <c r="R467" s="13">
        <v>87269.76237084344</v>
      </c>
      <c r="S467" s="13">
        <v>84269.76237084344</v>
      </c>
      <c r="T467" s="13">
        <v>81269.76237084344</v>
      </c>
      <c r="U467" s="13">
        <v>78269.76237084344</v>
      </c>
      <c r="V467" s="13">
        <v>75269.76237084344</v>
      </c>
      <c r="W467" s="13">
        <v>72269.76237084344</v>
      </c>
      <c r="X467" s="13">
        <v>69269.76237084344</v>
      </c>
    </row>
    <row r="468" spans="1:24" x14ac:dyDescent="0.35">
      <c r="A468" s="34">
        <v>441</v>
      </c>
      <c r="B468" s="2">
        <v>5.2704402558065633E-2</v>
      </c>
      <c r="C468" s="91">
        <f t="shared" si="13"/>
        <v>13.808212330027608</v>
      </c>
      <c r="D468" s="13">
        <v>50465.698640220915</v>
      </c>
      <c r="E468" s="13">
        <v>47465.698640220915</v>
      </c>
      <c r="F468" s="13">
        <v>44465.698640220915</v>
      </c>
      <c r="G468" s="13">
        <v>41465.698640220915</v>
      </c>
      <c r="H468" s="13">
        <v>38465.698640220915</v>
      </c>
      <c r="I468" s="13">
        <v>35465.698640220915</v>
      </c>
      <c r="J468" s="13">
        <v>32465.698640220915</v>
      </c>
      <c r="K468" s="13">
        <v>29465.698640220915</v>
      </c>
      <c r="L468" s="13">
        <v>26465.698640220915</v>
      </c>
      <c r="M468" s="13">
        <v>23465.698640220915</v>
      </c>
      <c r="N468" s="13">
        <v>20465.698640220915</v>
      </c>
      <c r="O468" s="13">
        <v>17465.698640220915</v>
      </c>
      <c r="P468" s="13">
        <v>14465.698640220915</v>
      </c>
      <c r="Q468" s="13">
        <v>11465.698640220915</v>
      </c>
      <c r="R468" s="13">
        <v>8465.698640220915</v>
      </c>
      <c r="S468" s="13">
        <v>5465.698640220915</v>
      </c>
      <c r="T468" s="13">
        <v>2465.698640220915</v>
      </c>
      <c r="U468" s="13">
        <v>-534.30135977908503</v>
      </c>
      <c r="V468" s="13">
        <v>-3534.301359779085</v>
      </c>
      <c r="W468" s="13">
        <v>-6534.301359779085</v>
      </c>
      <c r="X468" s="13">
        <v>-9534.301359779085</v>
      </c>
    </row>
    <row r="469" spans="1:24" x14ac:dyDescent="0.35">
      <c r="A469" s="34">
        <v>442</v>
      </c>
      <c r="B469" s="2">
        <v>0.23804428924854737</v>
      </c>
      <c r="C469" s="91">
        <f t="shared" si="13"/>
        <v>22.87392353034754</v>
      </c>
      <c r="D469" s="13">
        <v>108621.77059104259</v>
      </c>
      <c r="E469" s="13">
        <v>110621.77059104259</v>
      </c>
      <c r="F469" s="13">
        <v>112621.77059104259</v>
      </c>
      <c r="G469" s="13">
        <v>113991.38824278023</v>
      </c>
      <c r="H469" s="13">
        <v>110991.38824278023</v>
      </c>
      <c r="I469" s="13">
        <v>107991.38824278023</v>
      </c>
      <c r="J469" s="13">
        <v>104991.38824278023</v>
      </c>
      <c r="K469" s="13">
        <v>101991.38824278023</v>
      </c>
      <c r="L469" s="13">
        <v>98991.388242780231</v>
      </c>
      <c r="M469" s="13">
        <v>95991.388242780231</v>
      </c>
      <c r="N469" s="13">
        <v>92991.388242780231</v>
      </c>
      <c r="O469" s="13">
        <v>89991.388242780231</v>
      </c>
      <c r="P469" s="13">
        <v>86991.388242780231</v>
      </c>
      <c r="Q469" s="13">
        <v>83991.388242780231</v>
      </c>
      <c r="R469" s="13">
        <v>80991.388242780231</v>
      </c>
      <c r="S469" s="13">
        <v>77991.388242780231</v>
      </c>
      <c r="T469" s="13">
        <v>74991.388242780231</v>
      </c>
      <c r="U469" s="13">
        <v>71991.388242780231</v>
      </c>
      <c r="V469" s="13">
        <v>68991.388242780231</v>
      </c>
      <c r="W469" s="13">
        <v>65991.388242780231</v>
      </c>
      <c r="X469" s="13">
        <v>62991.388242780231</v>
      </c>
    </row>
    <row r="470" spans="1:24" x14ac:dyDescent="0.35">
      <c r="A470" s="34">
        <v>443</v>
      </c>
      <c r="B470" s="2">
        <v>0.68500259888964554</v>
      </c>
      <c r="C470" s="91">
        <f t="shared" si="13"/>
        <v>34.817341655206278</v>
      </c>
      <c r="D470" s="13">
        <v>144452.02496561897</v>
      </c>
      <c r="E470" s="13">
        <v>146452.02496561897</v>
      </c>
      <c r="F470" s="13">
        <v>148452.02496561897</v>
      </c>
      <c r="G470" s="13">
        <v>150452.02496561885</v>
      </c>
      <c r="H470" s="13">
        <v>152452.02496561885</v>
      </c>
      <c r="I470" s="13">
        <v>154452.02496561885</v>
      </c>
      <c r="J470" s="13">
        <v>156452.02496561885</v>
      </c>
      <c r="K470" s="13">
        <v>158452.02496561885</v>
      </c>
      <c r="L470" s="13">
        <v>160452.02496561885</v>
      </c>
      <c r="M470" s="13">
        <v>162452.02496561885</v>
      </c>
      <c r="N470" s="13">
        <v>164452.02496561885</v>
      </c>
      <c r="O470" s="13">
        <v>166452.02496561885</v>
      </c>
      <c r="P470" s="13">
        <v>168452.02496561885</v>
      </c>
      <c r="Q470" s="13">
        <v>170452.02496561885</v>
      </c>
      <c r="R470" s="13">
        <v>172452.02496561885</v>
      </c>
      <c r="S470" s="13">
        <v>173538.73324165028</v>
      </c>
      <c r="T470" s="13">
        <v>170538.73324165028</v>
      </c>
      <c r="U470" s="13">
        <v>167538.73324165028</v>
      </c>
      <c r="V470" s="13">
        <v>164538.73324165028</v>
      </c>
      <c r="W470" s="13">
        <v>161538.73324165028</v>
      </c>
      <c r="X470" s="13">
        <v>158538.73324165028</v>
      </c>
    </row>
    <row r="471" spans="1:24" x14ac:dyDescent="0.35">
      <c r="A471" s="34">
        <v>444</v>
      </c>
      <c r="B471" s="2">
        <v>0.80234277117645703</v>
      </c>
      <c r="C471" s="91">
        <f t="shared" si="13"/>
        <v>38.500191173786533</v>
      </c>
      <c r="D471" s="13">
        <v>155500.57352135959</v>
      </c>
      <c r="E471" s="13">
        <v>157500.57352135959</v>
      </c>
      <c r="F471" s="13">
        <v>159500.57352135959</v>
      </c>
      <c r="G471" s="13">
        <v>161500.57352135959</v>
      </c>
      <c r="H471" s="13">
        <v>163500.57352135959</v>
      </c>
      <c r="I471" s="13">
        <v>165500.57352135959</v>
      </c>
      <c r="J471" s="13">
        <v>167500.57352135959</v>
      </c>
      <c r="K471" s="13">
        <v>169500.57352135959</v>
      </c>
      <c r="L471" s="13">
        <v>171500.57352135959</v>
      </c>
      <c r="M471" s="13">
        <v>173500.57352135959</v>
      </c>
      <c r="N471" s="13">
        <v>175500.57352135959</v>
      </c>
      <c r="O471" s="13">
        <v>177500.57352135959</v>
      </c>
      <c r="P471" s="13">
        <v>179500.57352135959</v>
      </c>
      <c r="Q471" s="13">
        <v>181500.57352135959</v>
      </c>
      <c r="R471" s="13">
        <v>183500.57352135959</v>
      </c>
      <c r="S471" s="13">
        <v>185500.57352135959</v>
      </c>
      <c r="T471" s="13">
        <v>187500.57352135971</v>
      </c>
      <c r="U471" s="13">
        <v>189500.57352135971</v>
      </c>
      <c r="V471" s="13">
        <v>191500.57352135971</v>
      </c>
      <c r="W471" s="13">
        <v>191001.52939029236</v>
      </c>
      <c r="X471" s="13">
        <v>188001.52939029236</v>
      </c>
    </row>
    <row r="472" spans="1:24" x14ac:dyDescent="0.35">
      <c r="A472" s="34">
        <v>445</v>
      </c>
      <c r="B472" s="2">
        <v>0.24562657304378632</v>
      </c>
      <c r="C472" s="91">
        <f t="shared" si="13"/>
        <v>23.11682948399724</v>
      </c>
      <c r="D472" s="13">
        <v>109350.4884519917</v>
      </c>
      <c r="E472" s="13">
        <v>111350.4884519917</v>
      </c>
      <c r="F472" s="13">
        <v>113350.4884519917</v>
      </c>
      <c r="G472" s="13">
        <v>115350.4884519917</v>
      </c>
      <c r="H472" s="13">
        <v>112934.63587197789</v>
      </c>
      <c r="I472" s="13">
        <v>109934.63587197789</v>
      </c>
      <c r="J472" s="13">
        <v>106934.63587197789</v>
      </c>
      <c r="K472" s="13">
        <v>103934.63587197789</v>
      </c>
      <c r="L472" s="13">
        <v>100934.63587197789</v>
      </c>
      <c r="M472" s="13">
        <v>97934.635871977895</v>
      </c>
      <c r="N472" s="13">
        <v>94934.635871977895</v>
      </c>
      <c r="O472" s="13">
        <v>91934.635871977895</v>
      </c>
      <c r="P472" s="13">
        <v>88934.635871977895</v>
      </c>
      <c r="Q472" s="13">
        <v>85934.635871977895</v>
      </c>
      <c r="R472" s="13">
        <v>82934.635871977895</v>
      </c>
      <c r="S472" s="13">
        <v>79934.635871977895</v>
      </c>
      <c r="T472" s="13">
        <v>76934.635871977895</v>
      </c>
      <c r="U472" s="13">
        <v>73934.635871977895</v>
      </c>
      <c r="V472" s="13">
        <v>70934.635871977895</v>
      </c>
      <c r="W472" s="13">
        <v>67934.635871977895</v>
      </c>
      <c r="X472" s="13">
        <v>64934.635871977895</v>
      </c>
    </row>
    <row r="473" spans="1:24" x14ac:dyDescent="0.35">
      <c r="A473" s="34">
        <v>446</v>
      </c>
      <c r="B473" s="2">
        <v>0.74360395961275116</v>
      </c>
      <c r="C473" s="91">
        <f t="shared" si="13"/>
        <v>36.544963455933576</v>
      </c>
      <c r="D473" s="13">
        <v>149634.8903678006</v>
      </c>
      <c r="E473" s="13">
        <v>151634.8903678006</v>
      </c>
      <c r="F473" s="13">
        <v>153634.8903678006</v>
      </c>
      <c r="G473" s="13">
        <v>155634.8903678006</v>
      </c>
      <c r="H473" s="13">
        <v>157634.8903678006</v>
      </c>
      <c r="I473" s="13">
        <v>159634.89036780072</v>
      </c>
      <c r="J473" s="13">
        <v>161634.89036780072</v>
      </c>
      <c r="K473" s="13">
        <v>163634.89036780072</v>
      </c>
      <c r="L473" s="13">
        <v>165634.89036780072</v>
      </c>
      <c r="M473" s="13">
        <v>167634.89036780072</v>
      </c>
      <c r="N473" s="13">
        <v>169634.89036780072</v>
      </c>
      <c r="O473" s="13">
        <v>171634.89036780072</v>
      </c>
      <c r="P473" s="13">
        <v>173634.89036780072</v>
      </c>
      <c r="Q473" s="13">
        <v>175634.89036780072</v>
      </c>
      <c r="R473" s="13">
        <v>177634.89036780072</v>
      </c>
      <c r="S473" s="13">
        <v>179634.89036780072</v>
      </c>
      <c r="T473" s="13">
        <v>181634.89036780072</v>
      </c>
      <c r="U473" s="13">
        <v>181359.70764746855</v>
      </c>
      <c r="V473" s="13">
        <v>178359.70764746855</v>
      </c>
      <c r="W473" s="13">
        <v>175359.70764746855</v>
      </c>
      <c r="X473" s="13">
        <v>172359.70764746855</v>
      </c>
    </row>
    <row r="474" spans="1:24" x14ac:dyDescent="0.35">
      <c r="A474" s="34">
        <v>447</v>
      </c>
      <c r="B474" s="2">
        <v>0.50631129501809646</v>
      </c>
      <c r="C474" s="91">
        <f t="shared" si="13"/>
        <v>30.158207304934308</v>
      </c>
      <c r="D474" s="13">
        <v>130474.62191480293</v>
      </c>
      <c r="E474" s="13">
        <v>132474.62191480293</v>
      </c>
      <c r="F474" s="13">
        <v>134474.62191480293</v>
      </c>
      <c r="G474" s="13">
        <v>136474.62191480293</v>
      </c>
      <c r="H474" s="13">
        <v>138474.62191480293</v>
      </c>
      <c r="I474" s="13">
        <v>140474.62191480293</v>
      </c>
      <c r="J474" s="13">
        <v>142474.62191480293</v>
      </c>
      <c r="K474" s="13">
        <v>144474.62191480293</v>
      </c>
      <c r="L474" s="13">
        <v>146474.62191480293</v>
      </c>
      <c r="M474" s="13">
        <v>148474.62191480293</v>
      </c>
      <c r="N474" s="13">
        <v>150474.62191480293</v>
      </c>
      <c r="O474" s="13">
        <v>148265.65843947453</v>
      </c>
      <c r="P474" s="13">
        <v>145265.65843947453</v>
      </c>
      <c r="Q474" s="13">
        <v>142265.65843947453</v>
      </c>
      <c r="R474" s="13">
        <v>139265.65843947453</v>
      </c>
      <c r="S474" s="13">
        <v>136265.65843947453</v>
      </c>
      <c r="T474" s="13">
        <v>133265.65843947453</v>
      </c>
      <c r="U474" s="13">
        <v>130265.65843947453</v>
      </c>
      <c r="V474" s="13">
        <v>127265.65843947453</v>
      </c>
      <c r="W474" s="13">
        <v>124265.65843947453</v>
      </c>
      <c r="X474" s="13">
        <v>121265.65843947453</v>
      </c>
    </row>
    <row r="475" spans="1:24" x14ac:dyDescent="0.35">
      <c r="A475" s="34">
        <v>448</v>
      </c>
      <c r="B475" s="2">
        <v>0.54772516928192894</v>
      </c>
      <c r="C475" s="91">
        <f t="shared" si="13"/>
        <v>31.199160357670962</v>
      </c>
      <c r="D475" s="13">
        <v>133597.48107301281</v>
      </c>
      <c r="E475" s="13">
        <v>135597.48107301281</v>
      </c>
      <c r="F475" s="13">
        <v>137597.48107301281</v>
      </c>
      <c r="G475" s="13">
        <v>139597.48107301281</v>
      </c>
      <c r="H475" s="13">
        <v>141597.48107301281</v>
      </c>
      <c r="I475" s="13">
        <v>143597.48107301281</v>
      </c>
      <c r="J475" s="13">
        <v>145597.48107301281</v>
      </c>
      <c r="K475" s="13">
        <v>147597.48107301281</v>
      </c>
      <c r="L475" s="13">
        <v>149597.48107301281</v>
      </c>
      <c r="M475" s="13">
        <v>151597.48107301281</v>
      </c>
      <c r="N475" s="13">
        <v>153597.48107301281</v>
      </c>
      <c r="O475" s="13">
        <v>155597.48107301281</v>
      </c>
      <c r="P475" s="13">
        <v>153593.28286136768</v>
      </c>
      <c r="Q475" s="13">
        <v>150593.28286136768</v>
      </c>
      <c r="R475" s="13">
        <v>147593.28286136768</v>
      </c>
      <c r="S475" s="13">
        <v>144593.28286136768</v>
      </c>
      <c r="T475" s="13">
        <v>141593.28286136768</v>
      </c>
      <c r="U475" s="13">
        <v>138593.28286136768</v>
      </c>
      <c r="V475" s="13">
        <v>135593.28286136768</v>
      </c>
      <c r="W475" s="13">
        <v>132593.28286136768</v>
      </c>
      <c r="X475" s="13">
        <v>129593.28286136768</v>
      </c>
    </row>
    <row r="476" spans="1:24" x14ac:dyDescent="0.35">
      <c r="A476" s="34">
        <v>449</v>
      </c>
      <c r="B476" s="2">
        <v>0.62643907452268721</v>
      </c>
      <c r="C476" s="91">
        <f t="shared" si="13"/>
        <v>33.22436744927488</v>
      </c>
      <c r="D476" s="13">
        <v>139673.10234782472</v>
      </c>
      <c r="E476" s="13">
        <v>141673.10234782472</v>
      </c>
      <c r="F476" s="13">
        <v>143673.10234782472</v>
      </c>
      <c r="G476" s="13">
        <v>145673.10234782461</v>
      </c>
      <c r="H476" s="13">
        <v>147673.10234782461</v>
      </c>
      <c r="I476" s="13">
        <v>149673.10234782461</v>
      </c>
      <c r="J476" s="13">
        <v>151673.10234782461</v>
      </c>
      <c r="K476" s="13">
        <v>153673.10234782461</v>
      </c>
      <c r="L476" s="13">
        <v>155673.10234782461</v>
      </c>
      <c r="M476" s="13">
        <v>157673.10234782461</v>
      </c>
      <c r="N476" s="13">
        <v>159673.10234782461</v>
      </c>
      <c r="O476" s="13">
        <v>161673.10234782461</v>
      </c>
      <c r="P476" s="13">
        <v>163673.10234782461</v>
      </c>
      <c r="Q476" s="13">
        <v>165673.10234782461</v>
      </c>
      <c r="R476" s="13">
        <v>163794.93959419895</v>
      </c>
      <c r="S476" s="13">
        <v>160794.93959419895</v>
      </c>
      <c r="T476" s="13">
        <v>157794.93959419895</v>
      </c>
      <c r="U476" s="13">
        <v>154794.93959419895</v>
      </c>
      <c r="V476" s="13">
        <v>151794.93959419895</v>
      </c>
      <c r="W476" s="13">
        <v>148794.93959419895</v>
      </c>
      <c r="X476" s="13">
        <v>145794.93959419895</v>
      </c>
    </row>
    <row r="477" spans="1:24" x14ac:dyDescent="0.35">
      <c r="A477" s="34">
        <v>450</v>
      </c>
      <c r="B477" s="2">
        <v>0.93896408688880972</v>
      </c>
      <c r="C477" s="91">
        <f t="shared" ref="C477:C527" si="14">_xlfn.NORM.INV(B477,$F$6,$F$8)</f>
        <v>45.461355852462042</v>
      </c>
      <c r="D477" s="13">
        <v>176384.06755738601</v>
      </c>
      <c r="E477" s="13">
        <v>178384.06755738601</v>
      </c>
      <c r="F477" s="13">
        <v>180384.06755738589</v>
      </c>
      <c r="G477" s="13">
        <v>182384.06755738589</v>
      </c>
      <c r="H477" s="13">
        <v>184384.06755738589</v>
      </c>
      <c r="I477" s="13">
        <v>186384.06755738612</v>
      </c>
      <c r="J477" s="13">
        <v>188384.06755738612</v>
      </c>
      <c r="K477" s="13">
        <v>190384.06755738612</v>
      </c>
      <c r="L477" s="13">
        <v>192384.06755738612</v>
      </c>
      <c r="M477" s="13">
        <v>194384.06755738612</v>
      </c>
      <c r="N477" s="13">
        <v>196384.06755738612</v>
      </c>
      <c r="O477" s="13">
        <v>198384.06755738612</v>
      </c>
      <c r="P477" s="13">
        <v>200384.06755738612</v>
      </c>
      <c r="Q477" s="13">
        <v>202384.06755738612</v>
      </c>
      <c r="R477" s="13">
        <v>204384.06755738612</v>
      </c>
      <c r="S477" s="13">
        <v>206384.06755738612</v>
      </c>
      <c r="T477" s="13">
        <v>208384.06755738612</v>
      </c>
      <c r="U477" s="13">
        <v>210384.06755738612</v>
      </c>
      <c r="V477" s="13">
        <v>212384.06755738612</v>
      </c>
      <c r="W477" s="13">
        <v>214384.06755738612</v>
      </c>
      <c r="X477" s="13">
        <v>216384.06755738612</v>
      </c>
    </row>
    <row r="478" spans="1:24" x14ac:dyDescent="0.35">
      <c r="A478" s="34">
        <v>451</v>
      </c>
      <c r="B478" s="2">
        <v>0.8874176529859169</v>
      </c>
      <c r="C478" s="91">
        <f t="shared" si="14"/>
        <v>42.129087914904055</v>
      </c>
      <c r="D478" s="13">
        <v>166387.26374471223</v>
      </c>
      <c r="E478" s="13">
        <v>168387.26374471223</v>
      </c>
      <c r="F478" s="13">
        <v>170387.26374471223</v>
      </c>
      <c r="G478" s="13">
        <v>172387.26374471223</v>
      </c>
      <c r="H478" s="13">
        <v>174387.26374471223</v>
      </c>
      <c r="I478" s="13">
        <v>176387.26374471223</v>
      </c>
      <c r="J478" s="13">
        <v>178387.26374471223</v>
      </c>
      <c r="K478" s="13">
        <v>180387.26374471223</v>
      </c>
      <c r="L478" s="13">
        <v>182387.26374471223</v>
      </c>
      <c r="M478" s="13">
        <v>184387.26374471223</v>
      </c>
      <c r="N478" s="13">
        <v>186387.26374471223</v>
      </c>
      <c r="O478" s="13">
        <v>188387.26374471223</v>
      </c>
      <c r="P478" s="13">
        <v>190387.26374471223</v>
      </c>
      <c r="Q478" s="13">
        <v>192387.26374471223</v>
      </c>
      <c r="R478" s="13">
        <v>194387.26374471223</v>
      </c>
      <c r="S478" s="13">
        <v>196387.26374471223</v>
      </c>
      <c r="T478" s="13">
        <v>198387.26374471223</v>
      </c>
      <c r="U478" s="13">
        <v>200387.26374471223</v>
      </c>
      <c r="V478" s="13">
        <v>202387.26374471223</v>
      </c>
      <c r="W478" s="13">
        <v>204387.26374471223</v>
      </c>
      <c r="X478" s="13">
        <v>206387.26374471223</v>
      </c>
    </row>
    <row r="479" spans="1:24" x14ac:dyDescent="0.35">
      <c r="A479" s="34">
        <v>452</v>
      </c>
      <c r="B479" s="2">
        <v>0.52178084901937749</v>
      </c>
      <c r="C479" s="91">
        <f t="shared" si="14"/>
        <v>30.546236436583118</v>
      </c>
      <c r="D479" s="13">
        <v>131638.70930974942</v>
      </c>
      <c r="E479" s="13">
        <v>133638.70930974942</v>
      </c>
      <c r="F479" s="13">
        <v>135638.70930974942</v>
      </c>
      <c r="G479" s="13">
        <v>137638.70930974942</v>
      </c>
      <c r="H479" s="13">
        <v>139638.70930974942</v>
      </c>
      <c r="I479" s="13">
        <v>141638.70930974942</v>
      </c>
      <c r="J479" s="13">
        <v>143638.70930974942</v>
      </c>
      <c r="K479" s="13">
        <v>145638.70930974942</v>
      </c>
      <c r="L479" s="13">
        <v>147638.70930974942</v>
      </c>
      <c r="M479" s="13">
        <v>149638.70930974942</v>
      </c>
      <c r="N479" s="13">
        <v>151638.70930974942</v>
      </c>
      <c r="O479" s="13">
        <v>151369.89149266505</v>
      </c>
      <c r="P479" s="13">
        <v>148369.89149266505</v>
      </c>
      <c r="Q479" s="13">
        <v>145369.89149266505</v>
      </c>
      <c r="R479" s="13">
        <v>142369.89149266505</v>
      </c>
      <c r="S479" s="13">
        <v>139369.89149266505</v>
      </c>
      <c r="T479" s="13">
        <v>136369.89149266505</v>
      </c>
      <c r="U479" s="13">
        <v>133369.89149266505</v>
      </c>
      <c r="V479" s="13">
        <v>130369.89149266505</v>
      </c>
      <c r="W479" s="13">
        <v>127369.89149266505</v>
      </c>
      <c r="X479" s="13">
        <v>124369.89149266505</v>
      </c>
    </row>
    <row r="480" spans="1:24" x14ac:dyDescent="0.35">
      <c r="A480" s="34">
        <v>453</v>
      </c>
      <c r="B480" s="2">
        <v>0.59229859553922382</v>
      </c>
      <c r="C480" s="91">
        <f t="shared" si="14"/>
        <v>32.334618261207595</v>
      </c>
      <c r="D480" s="13">
        <v>137003.85478362278</v>
      </c>
      <c r="E480" s="13">
        <v>139003.85478362278</v>
      </c>
      <c r="F480" s="13">
        <v>141003.85478362278</v>
      </c>
      <c r="G480" s="13">
        <v>143003.85478362278</v>
      </c>
      <c r="H480" s="13">
        <v>145003.85478362278</v>
      </c>
      <c r="I480" s="13">
        <v>147003.85478362278</v>
      </c>
      <c r="J480" s="13">
        <v>149003.85478362278</v>
      </c>
      <c r="K480" s="13">
        <v>151003.85478362278</v>
      </c>
      <c r="L480" s="13">
        <v>153003.85478362278</v>
      </c>
      <c r="M480" s="13">
        <v>155003.85478362278</v>
      </c>
      <c r="N480" s="13">
        <v>157003.85478362278</v>
      </c>
      <c r="O480" s="13">
        <v>159003.85478362278</v>
      </c>
      <c r="P480" s="13">
        <v>161003.85478362278</v>
      </c>
      <c r="Q480" s="13">
        <v>159676.94608966075</v>
      </c>
      <c r="R480" s="13">
        <v>156676.94608966075</v>
      </c>
      <c r="S480" s="13">
        <v>153676.94608966075</v>
      </c>
      <c r="T480" s="13">
        <v>150676.94608966075</v>
      </c>
      <c r="U480" s="13">
        <v>147676.94608966075</v>
      </c>
      <c r="V480" s="13">
        <v>144676.94608966075</v>
      </c>
      <c r="W480" s="13">
        <v>141676.94608966075</v>
      </c>
      <c r="X480" s="13">
        <v>138676.94608966075</v>
      </c>
    </row>
    <row r="481" spans="1:24" x14ac:dyDescent="0.35">
      <c r="A481" s="34">
        <v>454</v>
      </c>
      <c r="B481" s="2">
        <v>0.97931521991243253</v>
      </c>
      <c r="C481" s="91">
        <f t="shared" si="14"/>
        <v>50.398069214713814</v>
      </c>
      <c r="D481" s="13">
        <v>191194.20764414151</v>
      </c>
      <c r="E481" s="13">
        <v>193194.20764414151</v>
      </c>
      <c r="F481" s="13">
        <v>195194.20764414151</v>
      </c>
      <c r="G481" s="13">
        <v>197194.20764414151</v>
      </c>
      <c r="H481" s="13">
        <v>199194.20764414151</v>
      </c>
      <c r="I481" s="13">
        <v>201194.20764414151</v>
      </c>
      <c r="J481" s="13">
        <v>203194.20764414151</v>
      </c>
      <c r="K481" s="13">
        <v>205194.20764414151</v>
      </c>
      <c r="L481" s="13">
        <v>207194.20764414151</v>
      </c>
      <c r="M481" s="13">
        <v>209194.20764414151</v>
      </c>
      <c r="N481" s="13">
        <v>211194.20764414151</v>
      </c>
      <c r="O481" s="13">
        <v>213194.20764414151</v>
      </c>
      <c r="P481" s="13">
        <v>215194.20764414151</v>
      </c>
      <c r="Q481" s="13">
        <v>217194.20764414151</v>
      </c>
      <c r="R481" s="13">
        <v>219194.20764414151</v>
      </c>
      <c r="S481" s="13">
        <v>221194.20764414151</v>
      </c>
      <c r="T481" s="13">
        <v>223194.20764414151</v>
      </c>
      <c r="U481" s="13">
        <v>225194.20764414151</v>
      </c>
      <c r="V481" s="13">
        <v>227194.20764414151</v>
      </c>
      <c r="W481" s="13">
        <v>229194.20764414151</v>
      </c>
      <c r="X481" s="13">
        <v>231194.20764414151</v>
      </c>
    </row>
    <row r="482" spans="1:24" x14ac:dyDescent="0.35">
      <c r="A482" s="34">
        <v>455</v>
      </c>
      <c r="B482" s="2">
        <v>0.68524093241915029</v>
      </c>
      <c r="C482" s="91">
        <f t="shared" si="14"/>
        <v>34.824051897272547</v>
      </c>
      <c r="D482" s="13">
        <v>144472.15569181764</v>
      </c>
      <c r="E482" s="13">
        <v>146472.15569181764</v>
      </c>
      <c r="F482" s="13">
        <v>148472.15569181764</v>
      </c>
      <c r="G482" s="13">
        <v>150472.15569181764</v>
      </c>
      <c r="H482" s="13">
        <v>152472.15569181764</v>
      </c>
      <c r="I482" s="13">
        <v>154472.15569181764</v>
      </c>
      <c r="J482" s="13">
        <v>156472.15569181764</v>
      </c>
      <c r="K482" s="13">
        <v>158472.15569181764</v>
      </c>
      <c r="L482" s="13">
        <v>160472.15569181764</v>
      </c>
      <c r="M482" s="13">
        <v>162472.15569181764</v>
      </c>
      <c r="N482" s="13">
        <v>164472.15569181764</v>
      </c>
      <c r="O482" s="13">
        <v>166472.15569181764</v>
      </c>
      <c r="P482" s="13">
        <v>168472.15569181764</v>
      </c>
      <c r="Q482" s="13">
        <v>170472.15569181764</v>
      </c>
      <c r="R482" s="13">
        <v>172472.15569181764</v>
      </c>
      <c r="S482" s="13">
        <v>173592.41517818032</v>
      </c>
      <c r="T482" s="13">
        <v>170592.41517818032</v>
      </c>
      <c r="U482" s="13">
        <v>167592.41517818032</v>
      </c>
      <c r="V482" s="13">
        <v>164592.41517818032</v>
      </c>
      <c r="W482" s="13">
        <v>161592.41517818032</v>
      </c>
      <c r="X482" s="13">
        <v>158592.41517818032</v>
      </c>
    </row>
    <row r="483" spans="1:24" x14ac:dyDescent="0.35">
      <c r="A483" s="34">
        <v>456</v>
      </c>
      <c r="B483" s="2">
        <v>0.61496413209674539</v>
      </c>
      <c r="C483" s="91">
        <f t="shared" si="14"/>
        <v>32.922810639224025</v>
      </c>
      <c r="D483" s="13">
        <v>138768.43191767205</v>
      </c>
      <c r="E483" s="13">
        <v>140768.43191767205</v>
      </c>
      <c r="F483" s="13">
        <v>142768.43191767205</v>
      </c>
      <c r="G483" s="13">
        <v>144768.43191767205</v>
      </c>
      <c r="H483" s="13">
        <v>146768.43191767205</v>
      </c>
      <c r="I483" s="13">
        <v>148768.43191767205</v>
      </c>
      <c r="J483" s="13">
        <v>150768.43191767205</v>
      </c>
      <c r="K483" s="13">
        <v>152768.43191767205</v>
      </c>
      <c r="L483" s="13">
        <v>154768.43191767205</v>
      </c>
      <c r="M483" s="13">
        <v>156768.43191767205</v>
      </c>
      <c r="N483" s="13">
        <v>158768.43191767205</v>
      </c>
      <c r="O483" s="13">
        <v>160768.43191767205</v>
      </c>
      <c r="P483" s="13">
        <v>162768.43191767205</v>
      </c>
      <c r="Q483" s="13">
        <v>164382.48511379224</v>
      </c>
      <c r="R483" s="13">
        <v>161382.48511379224</v>
      </c>
      <c r="S483" s="13">
        <v>158382.48511379224</v>
      </c>
      <c r="T483" s="13">
        <v>155382.48511379224</v>
      </c>
      <c r="U483" s="13">
        <v>152382.48511379224</v>
      </c>
      <c r="V483" s="13">
        <v>149382.48511379224</v>
      </c>
      <c r="W483" s="13">
        <v>146382.48511379224</v>
      </c>
      <c r="X483" s="13">
        <v>143382.48511379224</v>
      </c>
    </row>
    <row r="484" spans="1:24" x14ac:dyDescent="0.35">
      <c r="A484" s="34">
        <v>457</v>
      </c>
      <c r="B484" s="2">
        <v>0.15262138092337341</v>
      </c>
      <c r="C484" s="91">
        <f t="shared" si="14"/>
        <v>19.747447435727576</v>
      </c>
      <c r="D484" s="13">
        <v>97979.579485820606</v>
      </c>
      <c r="E484" s="13">
        <v>94979.579485820606</v>
      </c>
      <c r="F484" s="13">
        <v>91979.579485820606</v>
      </c>
      <c r="G484" s="13">
        <v>88979.579485820606</v>
      </c>
      <c r="H484" s="13">
        <v>85979.579485820606</v>
      </c>
      <c r="I484" s="13">
        <v>82979.579485820606</v>
      </c>
      <c r="J484" s="13">
        <v>79979.579485820606</v>
      </c>
      <c r="K484" s="13">
        <v>76979.579485820606</v>
      </c>
      <c r="L484" s="13">
        <v>73979.579485820606</v>
      </c>
      <c r="M484" s="13">
        <v>70979.579485820606</v>
      </c>
      <c r="N484" s="13">
        <v>67979.579485820606</v>
      </c>
      <c r="O484" s="13">
        <v>64979.579485820606</v>
      </c>
      <c r="P484" s="13">
        <v>61979.579485820606</v>
      </c>
      <c r="Q484" s="13">
        <v>58979.579485820606</v>
      </c>
      <c r="R484" s="13">
        <v>55979.579485820606</v>
      </c>
      <c r="S484" s="13">
        <v>52979.579485820606</v>
      </c>
      <c r="T484" s="13">
        <v>49979.579485820606</v>
      </c>
      <c r="U484" s="13">
        <v>46979.579485820606</v>
      </c>
      <c r="V484" s="13">
        <v>43979.579485820606</v>
      </c>
      <c r="W484" s="13">
        <v>40979.579485820606</v>
      </c>
      <c r="X484" s="13">
        <v>37979.579485820606</v>
      </c>
    </row>
    <row r="485" spans="1:24" x14ac:dyDescent="0.35">
      <c r="A485" s="34">
        <v>458</v>
      </c>
      <c r="B485" s="2">
        <v>5.3243746179913565E-2</v>
      </c>
      <c r="C485" s="91">
        <f t="shared" si="14"/>
        <v>13.858158659148373</v>
      </c>
      <c r="D485" s="13">
        <v>50865.269273186976</v>
      </c>
      <c r="E485" s="13">
        <v>47865.269273186976</v>
      </c>
      <c r="F485" s="13">
        <v>44865.269273186976</v>
      </c>
      <c r="G485" s="13">
        <v>41865.269273186976</v>
      </c>
      <c r="H485" s="13">
        <v>38865.269273186976</v>
      </c>
      <c r="I485" s="13">
        <v>35865.269273187034</v>
      </c>
      <c r="J485" s="13">
        <v>32865.269273187034</v>
      </c>
      <c r="K485" s="13">
        <v>29865.269273187034</v>
      </c>
      <c r="L485" s="13">
        <v>26865.269273187034</v>
      </c>
      <c r="M485" s="13">
        <v>23865.269273187034</v>
      </c>
      <c r="N485" s="13">
        <v>20865.269273187034</v>
      </c>
      <c r="O485" s="13">
        <v>17865.269273187034</v>
      </c>
      <c r="P485" s="13">
        <v>14865.269273187034</v>
      </c>
      <c r="Q485" s="13">
        <v>11865.269273187034</v>
      </c>
      <c r="R485" s="13">
        <v>8865.2692731870338</v>
      </c>
      <c r="S485" s="13">
        <v>5865.2692731870338</v>
      </c>
      <c r="T485" s="13">
        <v>2865.2692731870338</v>
      </c>
      <c r="U485" s="13">
        <v>-134.73072681296617</v>
      </c>
      <c r="V485" s="13">
        <v>-3134.7307268129662</v>
      </c>
      <c r="W485" s="13">
        <v>-6134.7307268129662</v>
      </c>
      <c r="X485" s="13">
        <v>-9134.7307268129662</v>
      </c>
    </row>
    <row r="486" spans="1:24" x14ac:dyDescent="0.35">
      <c r="A486" s="34">
        <v>459</v>
      </c>
      <c r="B486" s="2">
        <v>0.9530920578845915</v>
      </c>
      <c r="C486" s="91">
        <f t="shared" si="14"/>
        <v>46.756034926865382</v>
      </c>
      <c r="D486" s="13">
        <v>180268.1047805961</v>
      </c>
      <c r="E486" s="13">
        <v>182268.1047805961</v>
      </c>
      <c r="F486" s="13">
        <v>184268.1047805961</v>
      </c>
      <c r="G486" s="13">
        <v>186268.1047805961</v>
      </c>
      <c r="H486" s="13">
        <v>188268.1047805961</v>
      </c>
      <c r="I486" s="13">
        <v>190268.1047805961</v>
      </c>
      <c r="J486" s="13">
        <v>192268.1047805961</v>
      </c>
      <c r="K486" s="13">
        <v>194268.1047805961</v>
      </c>
      <c r="L486" s="13">
        <v>196268.1047805961</v>
      </c>
      <c r="M486" s="13">
        <v>198268.1047805961</v>
      </c>
      <c r="N486" s="13">
        <v>200268.1047805961</v>
      </c>
      <c r="O486" s="13">
        <v>202268.1047805961</v>
      </c>
      <c r="P486" s="13">
        <v>204268.1047805961</v>
      </c>
      <c r="Q486" s="13">
        <v>206268.1047805961</v>
      </c>
      <c r="R486" s="13">
        <v>208268.1047805961</v>
      </c>
      <c r="S486" s="13">
        <v>210268.1047805961</v>
      </c>
      <c r="T486" s="13">
        <v>212268.1047805961</v>
      </c>
      <c r="U486" s="13">
        <v>214268.1047805961</v>
      </c>
      <c r="V486" s="13">
        <v>216268.1047805961</v>
      </c>
      <c r="W486" s="13">
        <v>218268.1047805961</v>
      </c>
      <c r="X486" s="13">
        <v>220268.1047805961</v>
      </c>
    </row>
    <row r="487" spans="1:24" x14ac:dyDescent="0.35">
      <c r="A487" s="34">
        <v>460</v>
      </c>
      <c r="B487" s="2">
        <v>0.79512534053907258</v>
      </c>
      <c r="C487" s="91">
        <f t="shared" si="14"/>
        <v>38.243348553715144</v>
      </c>
      <c r="D487" s="13">
        <v>154730.04566114536</v>
      </c>
      <c r="E487" s="13">
        <v>156730.04566114536</v>
      </c>
      <c r="F487" s="13">
        <v>158730.04566114536</v>
      </c>
      <c r="G487" s="13">
        <v>160730.04566114536</v>
      </c>
      <c r="H487" s="13">
        <v>162730.04566114536</v>
      </c>
      <c r="I487" s="13">
        <v>164730.04566114536</v>
      </c>
      <c r="J487" s="13">
        <v>166730.04566114536</v>
      </c>
      <c r="K487" s="13">
        <v>168730.04566114536</v>
      </c>
      <c r="L487" s="13">
        <v>170730.04566114536</v>
      </c>
      <c r="M487" s="13">
        <v>172730.04566114536</v>
      </c>
      <c r="N487" s="13">
        <v>174730.04566114536</v>
      </c>
      <c r="O487" s="13">
        <v>176730.04566114536</v>
      </c>
      <c r="P487" s="13">
        <v>178730.04566114536</v>
      </c>
      <c r="Q487" s="13">
        <v>180730.04566114536</v>
      </c>
      <c r="R487" s="13">
        <v>182730.04566114536</v>
      </c>
      <c r="S487" s="13">
        <v>184730.04566114536</v>
      </c>
      <c r="T487" s="13">
        <v>186730.04566114536</v>
      </c>
      <c r="U487" s="13">
        <v>188730.04566114536</v>
      </c>
      <c r="V487" s="13">
        <v>190730.04566114536</v>
      </c>
      <c r="W487" s="13">
        <v>188946.78842972114</v>
      </c>
      <c r="X487" s="13">
        <v>185946.78842972114</v>
      </c>
    </row>
    <row r="488" spans="1:24" x14ac:dyDescent="0.35">
      <c r="A488" s="34">
        <v>461</v>
      </c>
      <c r="B488" s="2">
        <v>0.26811485418763792</v>
      </c>
      <c r="C488" s="91">
        <f t="shared" si="14"/>
        <v>23.814755841511328</v>
      </c>
      <c r="D488" s="13">
        <v>111444.26752453402</v>
      </c>
      <c r="E488" s="13">
        <v>113444.26752453402</v>
      </c>
      <c r="F488" s="13">
        <v>115444.26752453402</v>
      </c>
      <c r="G488" s="13">
        <v>117444.26752453402</v>
      </c>
      <c r="H488" s="13">
        <v>118518.04673209065</v>
      </c>
      <c r="I488" s="13">
        <v>115518.04673209065</v>
      </c>
      <c r="J488" s="13">
        <v>112518.04673209065</v>
      </c>
      <c r="K488" s="13">
        <v>109518.04673209065</v>
      </c>
      <c r="L488" s="13">
        <v>106518.04673209065</v>
      </c>
      <c r="M488" s="13">
        <v>103518.04673209065</v>
      </c>
      <c r="N488" s="13">
        <v>100518.04673209065</v>
      </c>
      <c r="O488" s="13">
        <v>97518.046732090646</v>
      </c>
      <c r="P488" s="13">
        <v>94518.046732090646</v>
      </c>
      <c r="Q488" s="13">
        <v>91518.046732090646</v>
      </c>
      <c r="R488" s="13">
        <v>88518.046732090646</v>
      </c>
      <c r="S488" s="13">
        <v>85518.046732090646</v>
      </c>
      <c r="T488" s="13">
        <v>82518.046732090646</v>
      </c>
      <c r="U488" s="13">
        <v>79518.046732090646</v>
      </c>
      <c r="V488" s="13">
        <v>76518.046732090646</v>
      </c>
      <c r="W488" s="13">
        <v>73518.046732090646</v>
      </c>
      <c r="X488" s="13">
        <v>70518.046732090646</v>
      </c>
    </row>
    <row r="489" spans="1:24" x14ac:dyDescent="0.35">
      <c r="A489" s="34">
        <v>462</v>
      </c>
      <c r="B489" s="2">
        <v>0.90883649141911704</v>
      </c>
      <c r="C489" s="91">
        <f t="shared" si="14"/>
        <v>43.336242935139587</v>
      </c>
      <c r="D489" s="13">
        <v>170008.72880541882</v>
      </c>
      <c r="E489" s="13">
        <v>172008.72880541882</v>
      </c>
      <c r="F489" s="13">
        <v>174008.72880541882</v>
      </c>
      <c r="G489" s="13">
        <v>176008.72880541882</v>
      </c>
      <c r="H489" s="13">
        <v>178008.72880541882</v>
      </c>
      <c r="I489" s="13">
        <v>180008.72880541882</v>
      </c>
      <c r="J489" s="13">
        <v>182008.72880541882</v>
      </c>
      <c r="K489" s="13">
        <v>184008.72880541882</v>
      </c>
      <c r="L489" s="13">
        <v>186008.72880541882</v>
      </c>
      <c r="M489" s="13">
        <v>188008.72880541882</v>
      </c>
      <c r="N489" s="13">
        <v>190008.72880541882</v>
      </c>
      <c r="O489" s="13">
        <v>192008.72880541882</v>
      </c>
      <c r="P489" s="13">
        <v>194008.72880541882</v>
      </c>
      <c r="Q489" s="13">
        <v>196008.72880541859</v>
      </c>
      <c r="R489" s="13">
        <v>198008.72880541859</v>
      </c>
      <c r="S489" s="13">
        <v>200008.72880541859</v>
      </c>
      <c r="T489" s="13">
        <v>202008.72880541859</v>
      </c>
      <c r="U489" s="13">
        <v>204008.72880541859</v>
      </c>
      <c r="V489" s="13">
        <v>206008.72880541871</v>
      </c>
      <c r="W489" s="13">
        <v>208008.72880541871</v>
      </c>
      <c r="X489" s="13">
        <v>210008.72880541871</v>
      </c>
    </row>
    <row r="490" spans="1:24" x14ac:dyDescent="0.35">
      <c r="A490" s="34">
        <v>463</v>
      </c>
      <c r="B490" s="2">
        <v>0.59247201429696306</v>
      </c>
      <c r="C490" s="91">
        <f t="shared" si="14"/>
        <v>32.339085551265939</v>
      </c>
      <c r="D490" s="13">
        <v>137017.25665379781</v>
      </c>
      <c r="E490" s="13">
        <v>139017.25665379781</v>
      </c>
      <c r="F490" s="13">
        <v>141017.25665379781</v>
      </c>
      <c r="G490" s="13">
        <v>143017.25665379781</v>
      </c>
      <c r="H490" s="13">
        <v>145017.25665379781</v>
      </c>
      <c r="I490" s="13">
        <v>147017.25665379781</v>
      </c>
      <c r="J490" s="13">
        <v>149017.25665379781</v>
      </c>
      <c r="K490" s="13">
        <v>151017.25665379781</v>
      </c>
      <c r="L490" s="13">
        <v>153017.25665379781</v>
      </c>
      <c r="M490" s="13">
        <v>155017.25665379781</v>
      </c>
      <c r="N490" s="13">
        <v>157017.25665379781</v>
      </c>
      <c r="O490" s="13">
        <v>159017.25665379781</v>
      </c>
      <c r="P490" s="13">
        <v>161017.25665379781</v>
      </c>
      <c r="Q490" s="13">
        <v>159712.68441012758</v>
      </c>
      <c r="R490" s="13">
        <v>156712.68441012758</v>
      </c>
      <c r="S490" s="13">
        <v>153712.68441012758</v>
      </c>
      <c r="T490" s="13">
        <v>150712.68441012758</v>
      </c>
      <c r="U490" s="13">
        <v>147712.68441012758</v>
      </c>
      <c r="V490" s="13">
        <v>144712.68441012758</v>
      </c>
      <c r="W490" s="13">
        <v>141712.68441012758</v>
      </c>
      <c r="X490" s="13">
        <v>138712.68441012758</v>
      </c>
    </row>
    <row r="491" spans="1:24" x14ac:dyDescent="0.35">
      <c r="A491" s="34">
        <v>464</v>
      </c>
      <c r="B491" s="2">
        <v>0.80034284784961218</v>
      </c>
      <c r="C491" s="91">
        <f t="shared" si="14"/>
        <v>38.42846488556718</v>
      </c>
      <c r="D491" s="13">
        <v>155285.3946567016</v>
      </c>
      <c r="E491" s="13">
        <v>157285.3946567016</v>
      </c>
      <c r="F491" s="13">
        <v>159285.3946567016</v>
      </c>
      <c r="G491" s="13">
        <v>161285.3946567016</v>
      </c>
      <c r="H491" s="13">
        <v>163285.3946567016</v>
      </c>
      <c r="I491" s="13">
        <v>165285.3946567016</v>
      </c>
      <c r="J491" s="13">
        <v>167285.3946567016</v>
      </c>
      <c r="K491" s="13">
        <v>169285.3946567016</v>
      </c>
      <c r="L491" s="13">
        <v>171285.3946567016</v>
      </c>
      <c r="M491" s="13">
        <v>173285.3946567016</v>
      </c>
      <c r="N491" s="13">
        <v>175285.3946567016</v>
      </c>
      <c r="O491" s="13">
        <v>177285.3946567016</v>
      </c>
      <c r="P491" s="13">
        <v>179285.3946567016</v>
      </c>
      <c r="Q491" s="13">
        <v>181285.39465670148</v>
      </c>
      <c r="R491" s="13">
        <v>183285.39465670148</v>
      </c>
      <c r="S491" s="13">
        <v>185285.39465670148</v>
      </c>
      <c r="T491" s="13">
        <v>187285.39465670148</v>
      </c>
      <c r="U491" s="13">
        <v>189285.39465670148</v>
      </c>
      <c r="V491" s="13">
        <v>191285.39465670148</v>
      </c>
      <c r="W491" s="13">
        <v>190427.71908453747</v>
      </c>
      <c r="X491" s="13">
        <v>187427.71908453747</v>
      </c>
    </row>
    <row r="492" spans="1:24" x14ac:dyDescent="0.35">
      <c r="A492" s="34">
        <v>465</v>
      </c>
      <c r="B492" s="2">
        <v>0.68089694355106756</v>
      </c>
      <c r="C492" s="91">
        <f t="shared" si="14"/>
        <v>34.702084286182796</v>
      </c>
      <c r="D492" s="13">
        <v>144106.25285854831</v>
      </c>
      <c r="E492" s="13">
        <v>146106.25285854831</v>
      </c>
      <c r="F492" s="13">
        <v>148106.25285854831</v>
      </c>
      <c r="G492" s="13">
        <v>150106.25285854831</v>
      </c>
      <c r="H492" s="13">
        <v>152106.25285854831</v>
      </c>
      <c r="I492" s="13">
        <v>154106.25285854843</v>
      </c>
      <c r="J492" s="13">
        <v>156106.25285854843</v>
      </c>
      <c r="K492" s="13">
        <v>158106.25285854843</v>
      </c>
      <c r="L492" s="13">
        <v>160106.25285854843</v>
      </c>
      <c r="M492" s="13">
        <v>162106.25285854843</v>
      </c>
      <c r="N492" s="13">
        <v>164106.25285854843</v>
      </c>
      <c r="O492" s="13">
        <v>166106.25285854843</v>
      </c>
      <c r="P492" s="13">
        <v>168106.25285854843</v>
      </c>
      <c r="Q492" s="13">
        <v>170106.25285854843</v>
      </c>
      <c r="R492" s="13">
        <v>172106.25285854843</v>
      </c>
      <c r="S492" s="13">
        <v>172616.67428946239</v>
      </c>
      <c r="T492" s="13">
        <v>169616.67428946239</v>
      </c>
      <c r="U492" s="13">
        <v>166616.67428946239</v>
      </c>
      <c r="V492" s="13">
        <v>163616.67428946239</v>
      </c>
      <c r="W492" s="13">
        <v>160616.67428946239</v>
      </c>
      <c r="X492" s="13">
        <v>157616.67428946239</v>
      </c>
    </row>
    <row r="493" spans="1:24" x14ac:dyDescent="0.35">
      <c r="A493" s="34">
        <v>466</v>
      </c>
      <c r="B493" s="2">
        <v>0.41513348926038773</v>
      </c>
      <c r="C493" s="91">
        <f t="shared" si="14"/>
        <v>27.856408291088826</v>
      </c>
      <c r="D493" s="13">
        <v>123569.22487326653</v>
      </c>
      <c r="E493" s="13">
        <v>125569.22487326653</v>
      </c>
      <c r="F493" s="13">
        <v>127569.22487326653</v>
      </c>
      <c r="G493" s="13">
        <v>129569.22487326653</v>
      </c>
      <c r="H493" s="13">
        <v>131569.22487326653</v>
      </c>
      <c r="I493" s="13">
        <v>133569.22487326653</v>
      </c>
      <c r="J493" s="13">
        <v>135569.22487326653</v>
      </c>
      <c r="K493" s="13">
        <v>137569.22487326653</v>
      </c>
      <c r="L493" s="13">
        <v>138851.2663287106</v>
      </c>
      <c r="M493" s="13">
        <v>135851.2663287106</v>
      </c>
      <c r="N493" s="13">
        <v>132851.2663287106</v>
      </c>
      <c r="O493" s="13">
        <v>129851.2663287106</v>
      </c>
      <c r="P493" s="13">
        <v>126851.2663287106</v>
      </c>
      <c r="Q493" s="13">
        <v>123851.2663287106</v>
      </c>
      <c r="R493" s="13">
        <v>120851.2663287106</v>
      </c>
      <c r="S493" s="13">
        <v>117851.2663287106</v>
      </c>
      <c r="T493" s="13">
        <v>114851.2663287106</v>
      </c>
      <c r="U493" s="13">
        <v>111851.2663287106</v>
      </c>
      <c r="V493" s="13">
        <v>108851.2663287106</v>
      </c>
      <c r="W493" s="13">
        <v>105851.2663287106</v>
      </c>
      <c r="X493" s="13">
        <v>102851.2663287106</v>
      </c>
    </row>
    <row r="494" spans="1:24" x14ac:dyDescent="0.35">
      <c r="A494" s="34">
        <v>467</v>
      </c>
      <c r="B494" s="2">
        <v>0.37648657135797958</v>
      </c>
      <c r="C494" s="91">
        <f t="shared" si="14"/>
        <v>26.852785318119814</v>
      </c>
      <c r="D494" s="13">
        <v>120558.35595435952</v>
      </c>
      <c r="E494" s="13">
        <v>122558.35595435952</v>
      </c>
      <c r="F494" s="13">
        <v>124558.35595435952</v>
      </c>
      <c r="G494" s="13">
        <v>126558.35595435952</v>
      </c>
      <c r="H494" s="13">
        <v>128558.35595435952</v>
      </c>
      <c r="I494" s="13">
        <v>130558.35595435952</v>
      </c>
      <c r="J494" s="13">
        <v>132558.35595435952</v>
      </c>
      <c r="K494" s="13">
        <v>133822.28254495852</v>
      </c>
      <c r="L494" s="13">
        <v>130822.28254495852</v>
      </c>
      <c r="M494" s="13">
        <v>127822.28254495852</v>
      </c>
      <c r="N494" s="13">
        <v>124822.28254495852</v>
      </c>
      <c r="O494" s="13">
        <v>121822.28254495852</v>
      </c>
      <c r="P494" s="13">
        <v>118822.28254495852</v>
      </c>
      <c r="Q494" s="13">
        <v>115822.28254495852</v>
      </c>
      <c r="R494" s="13">
        <v>112822.28254495852</v>
      </c>
      <c r="S494" s="13">
        <v>109822.28254495852</v>
      </c>
      <c r="T494" s="13">
        <v>106822.28254495852</v>
      </c>
      <c r="U494" s="13">
        <v>103822.28254495852</v>
      </c>
      <c r="V494" s="13">
        <v>100822.28254495852</v>
      </c>
      <c r="W494" s="13">
        <v>97822.282544958522</v>
      </c>
      <c r="X494" s="13">
        <v>94822.282544958522</v>
      </c>
    </row>
    <row r="495" spans="1:24" x14ac:dyDescent="0.35">
      <c r="A495" s="34">
        <v>468</v>
      </c>
      <c r="B495" s="2">
        <v>0.81817922284613953</v>
      </c>
      <c r="C495" s="91">
        <f t="shared" si="14"/>
        <v>39.084480399248086</v>
      </c>
      <c r="D495" s="13">
        <v>157253.44119774434</v>
      </c>
      <c r="E495" s="13">
        <v>159253.44119774434</v>
      </c>
      <c r="F495" s="13">
        <v>161253.44119774434</v>
      </c>
      <c r="G495" s="13">
        <v>163253.44119774434</v>
      </c>
      <c r="H495" s="13">
        <v>165253.44119774434</v>
      </c>
      <c r="I495" s="13">
        <v>167253.44119774434</v>
      </c>
      <c r="J495" s="13">
        <v>169253.44119774434</v>
      </c>
      <c r="K495" s="13">
        <v>171253.44119774434</v>
      </c>
      <c r="L495" s="13">
        <v>173253.44119774434</v>
      </c>
      <c r="M495" s="13">
        <v>175253.44119774434</v>
      </c>
      <c r="N495" s="13">
        <v>177253.44119774434</v>
      </c>
      <c r="O495" s="13">
        <v>179253.44119774434</v>
      </c>
      <c r="P495" s="13">
        <v>181253.44119774434</v>
      </c>
      <c r="Q495" s="13">
        <v>183253.44119774434</v>
      </c>
      <c r="R495" s="13">
        <v>185253.44119774434</v>
      </c>
      <c r="S495" s="13">
        <v>187253.44119774434</v>
      </c>
      <c r="T495" s="13">
        <v>189253.44119774434</v>
      </c>
      <c r="U495" s="13">
        <v>191253.44119774434</v>
      </c>
      <c r="V495" s="13">
        <v>193253.44119774434</v>
      </c>
      <c r="W495" s="13">
        <v>195253.44119774434</v>
      </c>
      <c r="X495" s="13">
        <v>192675.84319398471</v>
      </c>
    </row>
    <row r="496" spans="1:24" x14ac:dyDescent="0.35">
      <c r="A496" s="34">
        <v>469</v>
      </c>
      <c r="B496" s="2">
        <v>0.45299016195640907</v>
      </c>
      <c r="C496" s="91">
        <f t="shared" si="14"/>
        <v>28.818897776853376</v>
      </c>
      <c r="D496" s="13">
        <v>126456.69333056011</v>
      </c>
      <c r="E496" s="13">
        <v>128456.69333056011</v>
      </c>
      <c r="F496" s="13">
        <v>130456.69333056011</v>
      </c>
      <c r="G496" s="13">
        <v>132456.69333056011</v>
      </c>
      <c r="H496" s="13">
        <v>134456.69333056011</v>
      </c>
      <c r="I496" s="13">
        <v>136456.69333056011</v>
      </c>
      <c r="J496" s="13">
        <v>138456.69333056011</v>
      </c>
      <c r="K496" s="13">
        <v>140456.69333056011</v>
      </c>
      <c r="L496" s="13">
        <v>142456.69333056011</v>
      </c>
      <c r="M496" s="13">
        <v>143551.18221482704</v>
      </c>
      <c r="N496" s="13">
        <v>140551.18221482704</v>
      </c>
      <c r="O496" s="13">
        <v>137551.18221482704</v>
      </c>
      <c r="P496" s="13">
        <v>134551.18221482704</v>
      </c>
      <c r="Q496" s="13">
        <v>131551.18221482704</v>
      </c>
      <c r="R496" s="13">
        <v>128551.18221482704</v>
      </c>
      <c r="S496" s="13">
        <v>125551.18221482704</v>
      </c>
      <c r="T496" s="13">
        <v>122551.18221482704</v>
      </c>
      <c r="U496" s="13">
        <v>119551.18221482704</v>
      </c>
      <c r="V496" s="13">
        <v>116551.18221482704</v>
      </c>
      <c r="W496" s="13">
        <v>113551.18221482704</v>
      </c>
      <c r="X496" s="13">
        <v>110551.18221482704</v>
      </c>
    </row>
    <row r="497" spans="1:24" x14ac:dyDescent="0.35">
      <c r="A497" s="34">
        <v>470</v>
      </c>
      <c r="B497" s="2">
        <v>0.52650450341659027</v>
      </c>
      <c r="C497" s="91">
        <f t="shared" si="14"/>
        <v>30.664858872807756</v>
      </c>
      <c r="D497" s="13">
        <v>131994.57661842322</v>
      </c>
      <c r="E497" s="13">
        <v>133994.57661842334</v>
      </c>
      <c r="F497" s="13">
        <v>135994.57661842334</v>
      </c>
      <c r="G497" s="13">
        <v>137994.57661842334</v>
      </c>
      <c r="H497" s="13">
        <v>139994.57661842334</v>
      </c>
      <c r="I497" s="13">
        <v>141994.57661842334</v>
      </c>
      <c r="J497" s="13">
        <v>143994.57661842334</v>
      </c>
      <c r="K497" s="13">
        <v>145994.57661842334</v>
      </c>
      <c r="L497" s="13">
        <v>147994.57661842334</v>
      </c>
      <c r="M497" s="13">
        <v>149994.57661842334</v>
      </c>
      <c r="N497" s="13">
        <v>151994.57661842334</v>
      </c>
      <c r="O497" s="13">
        <v>152318.87098246207</v>
      </c>
      <c r="P497" s="13">
        <v>149318.87098246207</v>
      </c>
      <c r="Q497" s="13">
        <v>146318.87098246207</v>
      </c>
      <c r="R497" s="13">
        <v>143318.87098246207</v>
      </c>
      <c r="S497" s="13">
        <v>140318.87098246207</v>
      </c>
      <c r="T497" s="13">
        <v>137318.87098246207</v>
      </c>
      <c r="U497" s="13">
        <v>134318.87098246207</v>
      </c>
      <c r="V497" s="13">
        <v>131318.87098246207</v>
      </c>
      <c r="W497" s="13">
        <v>128318.87098246207</v>
      </c>
      <c r="X497" s="13">
        <v>125318.87098246207</v>
      </c>
    </row>
    <row r="498" spans="1:24" x14ac:dyDescent="0.35">
      <c r="A498" s="34">
        <v>471</v>
      </c>
      <c r="B498" s="2">
        <v>0.3355479471863051</v>
      </c>
      <c r="C498" s="91">
        <f t="shared" si="14"/>
        <v>25.753555635582959</v>
      </c>
      <c r="D498" s="13">
        <v>117260.6669067489</v>
      </c>
      <c r="E498" s="13">
        <v>119260.6669067489</v>
      </c>
      <c r="F498" s="13">
        <v>121260.66690674884</v>
      </c>
      <c r="G498" s="13">
        <v>123260.66690674884</v>
      </c>
      <c r="H498" s="13">
        <v>125260.66690674884</v>
      </c>
      <c r="I498" s="13">
        <v>127260.66690674884</v>
      </c>
      <c r="J498" s="13">
        <v>128028.44508466369</v>
      </c>
      <c r="K498" s="13">
        <v>125028.44508466369</v>
      </c>
      <c r="L498" s="13">
        <v>122028.44508466369</v>
      </c>
      <c r="M498" s="13">
        <v>119028.44508466369</v>
      </c>
      <c r="N498" s="13">
        <v>116028.44508466369</v>
      </c>
      <c r="O498" s="13">
        <v>113028.44508466369</v>
      </c>
      <c r="P498" s="13">
        <v>110028.44508466369</v>
      </c>
      <c r="Q498" s="13">
        <v>107028.44508466369</v>
      </c>
      <c r="R498" s="13">
        <v>104028.44508466369</v>
      </c>
      <c r="S498" s="13">
        <v>101028.44508466369</v>
      </c>
      <c r="T498" s="13">
        <v>98028.44508466369</v>
      </c>
      <c r="U498" s="13">
        <v>95028.44508466369</v>
      </c>
      <c r="V498" s="13">
        <v>92028.44508466369</v>
      </c>
      <c r="W498" s="13">
        <v>89028.44508466369</v>
      </c>
      <c r="X498" s="13">
        <v>86028.44508466369</v>
      </c>
    </row>
    <row r="499" spans="1:24" x14ac:dyDescent="0.35">
      <c r="A499" s="34">
        <v>472</v>
      </c>
      <c r="B499" s="2">
        <v>9.5658175740717444E-2</v>
      </c>
      <c r="C499" s="91">
        <f t="shared" si="14"/>
        <v>16.933051000652636</v>
      </c>
      <c r="D499" s="13">
        <v>75464.408005221107</v>
      </c>
      <c r="E499" s="13">
        <v>72464.408005221107</v>
      </c>
      <c r="F499" s="13">
        <v>69464.408005221107</v>
      </c>
      <c r="G499" s="13">
        <v>66464.408005221048</v>
      </c>
      <c r="H499" s="13">
        <v>63464.408005221048</v>
      </c>
      <c r="I499" s="13">
        <v>60464.408005221048</v>
      </c>
      <c r="J499" s="13">
        <v>57464.408005221048</v>
      </c>
      <c r="K499" s="13">
        <v>54464.408005221048</v>
      </c>
      <c r="L499" s="13">
        <v>51464.408005221048</v>
      </c>
      <c r="M499" s="13">
        <v>48464.408005221048</v>
      </c>
      <c r="N499" s="13">
        <v>45464.408005221048</v>
      </c>
      <c r="O499" s="13">
        <v>42464.408005221048</v>
      </c>
      <c r="P499" s="13">
        <v>39464.408005221048</v>
      </c>
      <c r="Q499" s="13">
        <v>36464.408005221048</v>
      </c>
      <c r="R499" s="13">
        <v>33464.408005221048</v>
      </c>
      <c r="S499" s="13">
        <v>30464.408005221048</v>
      </c>
      <c r="T499" s="13">
        <v>27464.408005221048</v>
      </c>
      <c r="U499" s="13">
        <v>24464.408005221048</v>
      </c>
      <c r="V499" s="13">
        <v>21464.408005221048</v>
      </c>
      <c r="W499" s="13">
        <v>18464.408005221048</v>
      </c>
      <c r="X499" s="13">
        <v>15464.408005221048</v>
      </c>
    </row>
    <row r="500" spans="1:24" x14ac:dyDescent="0.35">
      <c r="A500" s="34">
        <v>473</v>
      </c>
      <c r="B500" s="2">
        <v>0.47942240934191582</v>
      </c>
      <c r="C500" s="91">
        <f t="shared" si="14"/>
        <v>29.483967362164734</v>
      </c>
      <c r="D500" s="13">
        <v>128451.90208649426</v>
      </c>
      <c r="E500" s="13">
        <v>130451.90208649426</v>
      </c>
      <c r="F500" s="13">
        <v>132451.90208649426</v>
      </c>
      <c r="G500" s="13">
        <v>134451.90208649426</v>
      </c>
      <c r="H500" s="13">
        <v>136451.90208649426</v>
      </c>
      <c r="I500" s="13">
        <v>138451.90208649426</v>
      </c>
      <c r="J500" s="13">
        <v>140451.90208649426</v>
      </c>
      <c r="K500" s="13">
        <v>142451.90208649426</v>
      </c>
      <c r="L500" s="13">
        <v>144451.90208649426</v>
      </c>
      <c r="M500" s="13">
        <v>146451.90208649426</v>
      </c>
      <c r="N500" s="13">
        <v>145871.7388973179</v>
      </c>
      <c r="O500" s="13">
        <v>142871.7388973179</v>
      </c>
      <c r="P500" s="13">
        <v>139871.7388973179</v>
      </c>
      <c r="Q500" s="13">
        <v>136871.7388973179</v>
      </c>
      <c r="R500" s="13">
        <v>133871.7388973179</v>
      </c>
      <c r="S500" s="13">
        <v>130871.7388973179</v>
      </c>
      <c r="T500" s="13">
        <v>127871.7388973179</v>
      </c>
      <c r="U500" s="13">
        <v>124871.7388973179</v>
      </c>
      <c r="V500" s="13">
        <v>121871.7388973179</v>
      </c>
      <c r="W500" s="13">
        <v>118871.7388973179</v>
      </c>
      <c r="X500" s="13">
        <v>115871.7388973179</v>
      </c>
    </row>
    <row r="501" spans="1:24" x14ac:dyDescent="0.35">
      <c r="A501" s="34">
        <v>474</v>
      </c>
      <c r="B501" s="2">
        <v>0.9437128193767238</v>
      </c>
      <c r="C501" s="91">
        <f t="shared" si="14"/>
        <v>45.867275614825672</v>
      </c>
      <c r="D501" s="13">
        <v>177601.82684447709</v>
      </c>
      <c r="E501" s="13">
        <v>179601.82684447709</v>
      </c>
      <c r="F501" s="13">
        <v>181601.82684447709</v>
      </c>
      <c r="G501" s="13">
        <v>183601.82684447709</v>
      </c>
      <c r="H501" s="13">
        <v>185601.82684447709</v>
      </c>
      <c r="I501" s="13">
        <v>187601.82684447709</v>
      </c>
      <c r="J501" s="13">
        <v>189601.82684447709</v>
      </c>
      <c r="K501" s="13">
        <v>191601.82684447709</v>
      </c>
      <c r="L501" s="13">
        <v>193601.82684447709</v>
      </c>
      <c r="M501" s="13">
        <v>195601.82684447709</v>
      </c>
      <c r="N501" s="13">
        <v>197601.82684447709</v>
      </c>
      <c r="O501" s="13">
        <v>199601.82684447709</v>
      </c>
      <c r="P501" s="13">
        <v>201601.82684447709</v>
      </c>
      <c r="Q501" s="13">
        <v>203601.82684447709</v>
      </c>
      <c r="R501" s="13">
        <v>205601.82684447709</v>
      </c>
      <c r="S501" s="13">
        <v>207601.82684447709</v>
      </c>
      <c r="T501" s="13">
        <v>209601.82684447709</v>
      </c>
      <c r="U501" s="13">
        <v>211601.82684447709</v>
      </c>
      <c r="V501" s="13">
        <v>213601.82684447709</v>
      </c>
      <c r="W501" s="13">
        <v>215601.82684447709</v>
      </c>
      <c r="X501" s="13">
        <v>217601.82684447709</v>
      </c>
    </row>
    <row r="502" spans="1:24" x14ac:dyDescent="0.35">
      <c r="A502" s="34">
        <v>475</v>
      </c>
      <c r="B502" s="2">
        <v>0.78697937664960327</v>
      </c>
      <c r="C502" s="91">
        <f t="shared" si="14"/>
        <v>37.959841523113965</v>
      </c>
      <c r="D502" s="13">
        <v>153879.52456934191</v>
      </c>
      <c r="E502" s="13">
        <v>155879.52456934191</v>
      </c>
      <c r="F502" s="13">
        <v>157879.52456934191</v>
      </c>
      <c r="G502" s="13">
        <v>159879.52456934191</v>
      </c>
      <c r="H502" s="13">
        <v>161879.52456934191</v>
      </c>
      <c r="I502" s="13">
        <v>163879.52456934191</v>
      </c>
      <c r="J502" s="13">
        <v>165879.52456934191</v>
      </c>
      <c r="K502" s="13">
        <v>167879.52456934191</v>
      </c>
      <c r="L502" s="13">
        <v>169879.52456934191</v>
      </c>
      <c r="M502" s="13">
        <v>171879.52456934191</v>
      </c>
      <c r="N502" s="13">
        <v>173879.52456934191</v>
      </c>
      <c r="O502" s="13">
        <v>175879.52456934191</v>
      </c>
      <c r="P502" s="13">
        <v>177879.52456934191</v>
      </c>
      <c r="Q502" s="13">
        <v>179879.52456934191</v>
      </c>
      <c r="R502" s="13">
        <v>181879.52456934191</v>
      </c>
      <c r="S502" s="13">
        <v>183879.52456934191</v>
      </c>
      <c r="T502" s="13">
        <v>185879.52456934191</v>
      </c>
      <c r="U502" s="13">
        <v>187879.5245693418</v>
      </c>
      <c r="V502" s="13">
        <v>189678.73218491161</v>
      </c>
      <c r="W502" s="13">
        <v>186678.73218491161</v>
      </c>
      <c r="X502" s="13">
        <v>183678.73218491161</v>
      </c>
    </row>
    <row r="503" spans="1:24" x14ac:dyDescent="0.35">
      <c r="A503" s="34">
        <v>476</v>
      </c>
      <c r="B503" s="2">
        <v>0.31375216878210632</v>
      </c>
      <c r="C503" s="91">
        <f t="shared" si="14"/>
        <v>25.147574995993299</v>
      </c>
      <c r="D503" s="13">
        <v>115442.72498797998</v>
      </c>
      <c r="E503" s="13">
        <v>117442.72498797998</v>
      </c>
      <c r="F503" s="13">
        <v>119442.72498797998</v>
      </c>
      <c r="G503" s="13">
        <v>121442.72498797998</v>
      </c>
      <c r="H503" s="13">
        <v>123442.72498797998</v>
      </c>
      <c r="I503" s="13">
        <v>125442.72498797998</v>
      </c>
      <c r="J503" s="13">
        <v>123180.59996794641</v>
      </c>
      <c r="K503" s="13">
        <v>120180.59996794641</v>
      </c>
      <c r="L503" s="13">
        <v>117180.59996794641</v>
      </c>
      <c r="M503" s="13">
        <v>114180.59996794641</v>
      </c>
      <c r="N503" s="13">
        <v>111180.59996794641</v>
      </c>
      <c r="O503" s="13">
        <v>108180.59996794641</v>
      </c>
      <c r="P503" s="13">
        <v>105180.59996794641</v>
      </c>
      <c r="Q503" s="13">
        <v>102180.59996794641</v>
      </c>
      <c r="R503" s="13">
        <v>99180.599967946415</v>
      </c>
      <c r="S503" s="13">
        <v>96180.599967946415</v>
      </c>
      <c r="T503" s="13">
        <v>93180.599967946415</v>
      </c>
      <c r="U503" s="13">
        <v>90180.599967946415</v>
      </c>
      <c r="V503" s="13">
        <v>87180.599967946415</v>
      </c>
      <c r="W503" s="13">
        <v>84180.599967946415</v>
      </c>
      <c r="X503" s="13">
        <v>81180.599967946415</v>
      </c>
    </row>
    <row r="504" spans="1:24" x14ac:dyDescent="0.35">
      <c r="A504" s="34">
        <v>477</v>
      </c>
      <c r="B504" s="2">
        <v>0.94494545714296363</v>
      </c>
      <c r="C504" s="91">
        <f t="shared" si="14"/>
        <v>45.977030228369387</v>
      </c>
      <c r="D504" s="13">
        <v>177931.09068510809</v>
      </c>
      <c r="E504" s="13">
        <v>179931.09068510809</v>
      </c>
      <c r="F504" s="13">
        <v>181931.09068510809</v>
      </c>
      <c r="G504" s="13">
        <v>183931.09068510809</v>
      </c>
      <c r="H504" s="13">
        <v>185931.09068510809</v>
      </c>
      <c r="I504" s="13">
        <v>187931.09068510809</v>
      </c>
      <c r="J504" s="13">
        <v>189931.09068510809</v>
      </c>
      <c r="K504" s="13">
        <v>191931.09068510809</v>
      </c>
      <c r="L504" s="13">
        <v>193931.09068510809</v>
      </c>
      <c r="M504" s="13">
        <v>195931.09068510809</v>
      </c>
      <c r="N504" s="13">
        <v>197931.09068510809</v>
      </c>
      <c r="O504" s="13">
        <v>199931.09068510809</v>
      </c>
      <c r="P504" s="13">
        <v>201931.09068510809</v>
      </c>
      <c r="Q504" s="13">
        <v>203931.09068510809</v>
      </c>
      <c r="R504" s="13">
        <v>205931.09068510809</v>
      </c>
      <c r="S504" s="13">
        <v>207931.09068510809</v>
      </c>
      <c r="T504" s="13">
        <v>209931.09068510809</v>
      </c>
      <c r="U504" s="13">
        <v>211931.09068510809</v>
      </c>
      <c r="V504" s="13">
        <v>213931.09068510809</v>
      </c>
      <c r="W504" s="13">
        <v>215931.09068510809</v>
      </c>
      <c r="X504" s="13">
        <v>217931.09068510809</v>
      </c>
    </row>
    <row r="505" spans="1:24" x14ac:dyDescent="0.35">
      <c r="A505" s="34">
        <v>478</v>
      </c>
      <c r="B505" s="2">
        <v>0.25711461714769812</v>
      </c>
      <c r="C505" s="91">
        <f t="shared" si="14"/>
        <v>23.477334492115176</v>
      </c>
      <c r="D505" s="13">
        <v>110432.00347634545</v>
      </c>
      <c r="E505" s="13">
        <v>112432.00347634556</v>
      </c>
      <c r="F505" s="13">
        <v>114432.00347634556</v>
      </c>
      <c r="G505" s="13">
        <v>116432.00347634556</v>
      </c>
      <c r="H505" s="13">
        <v>115818.6759369215</v>
      </c>
      <c r="I505" s="13">
        <v>112818.6759369215</v>
      </c>
      <c r="J505" s="13">
        <v>109818.6759369215</v>
      </c>
      <c r="K505" s="13">
        <v>106818.6759369215</v>
      </c>
      <c r="L505" s="13">
        <v>103818.6759369215</v>
      </c>
      <c r="M505" s="13">
        <v>100818.6759369215</v>
      </c>
      <c r="N505" s="13">
        <v>97818.6759369215</v>
      </c>
      <c r="O505" s="13">
        <v>94818.6759369215</v>
      </c>
      <c r="P505" s="13">
        <v>91818.6759369215</v>
      </c>
      <c r="Q505" s="13">
        <v>88818.6759369215</v>
      </c>
      <c r="R505" s="13">
        <v>85818.6759369215</v>
      </c>
      <c r="S505" s="13">
        <v>82818.6759369215</v>
      </c>
      <c r="T505" s="13">
        <v>79818.6759369215</v>
      </c>
      <c r="U505" s="13">
        <v>76818.6759369215</v>
      </c>
      <c r="V505" s="13">
        <v>73818.6759369215</v>
      </c>
      <c r="W505" s="13">
        <v>70818.6759369215</v>
      </c>
      <c r="X505" s="13">
        <v>67818.6759369215</v>
      </c>
    </row>
    <row r="506" spans="1:24" x14ac:dyDescent="0.35">
      <c r="A506" s="34">
        <v>479</v>
      </c>
      <c r="B506" s="2">
        <v>0.9265078053486695</v>
      </c>
      <c r="C506" s="91">
        <f t="shared" si="14"/>
        <v>44.502658821876011</v>
      </c>
      <c r="D506" s="13">
        <v>173507.97646562802</v>
      </c>
      <c r="E506" s="13">
        <v>175507.97646562802</v>
      </c>
      <c r="F506" s="13">
        <v>177507.97646562802</v>
      </c>
      <c r="G506" s="13">
        <v>179507.97646562802</v>
      </c>
      <c r="H506" s="13">
        <v>181507.97646562802</v>
      </c>
      <c r="I506" s="13">
        <v>183507.97646562802</v>
      </c>
      <c r="J506" s="13">
        <v>185507.97646562802</v>
      </c>
      <c r="K506" s="13">
        <v>187507.97646562802</v>
      </c>
      <c r="L506" s="13">
        <v>189507.97646562802</v>
      </c>
      <c r="M506" s="13">
        <v>191507.97646562802</v>
      </c>
      <c r="N506" s="13">
        <v>193507.97646562802</v>
      </c>
      <c r="O506" s="13">
        <v>195507.97646562802</v>
      </c>
      <c r="P506" s="13">
        <v>197507.97646562802</v>
      </c>
      <c r="Q506" s="13">
        <v>199507.97646562802</v>
      </c>
      <c r="R506" s="13">
        <v>201507.97646562802</v>
      </c>
      <c r="S506" s="13">
        <v>203507.97646562802</v>
      </c>
      <c r="T506" s="13">
        <v>205507.97646562802</v>
      </c>
      <c r="U506" s="13">
        <v>207507.97646562802</v>
      </c>
      <c r="V506" s="13">
        <v>209507.97646562802</v>
      </c>
      <c r="W506" s="13">
        <v>211507.97646562802</v>
      </c>
      <c r="X506" s="13">
        <v>213507.97646562802</v>
      </c>
    </row>
    <row r="507" spans="1:24" x14ac:dyDescent="0.35">
      <c r="A507" s="34">
        <v>480</v>
      </c>
      <c r="B507" s="2">
        <v>0.36789586298875931</v>
      </c>
      <c r="C507" s="91">
        <f t="shared" si="14"/>
        <v>26.625686113682601</v>
      </c>
      <c r="D507" s="13">
        <v>119877.05834104784</v>
      </c>
      <c r="E507" s="13">
        <v>121877.05834104784</v>
      </c>
      <c r="F507" s="13">
        <v>123877.05834104784</v>
      </c>
      <c r="G507" s="13">
        <v>125877.05834104784</v>
      </c>
      <c r="H507" s="13">
        <v>127877.05834104784</v>
      </c>
      <c r="I507" s="13">
        <v>129877.05834104784</v>
      </c>
      <c r="J507" s="13">
        <v>131877.05834104773</v>
      </c>
      <c r="K507" s="13">
        <v>132005.48890946072</v>
      </c>
      <c r="L507" s="13">
        <v>129005.48890946072</v>
      </c>
      <c r="M507" s="13">
        <v>126005.48890946072</v>
      </c>
      <c r="N507" s="13">
        <v>123005.48890946072</v>
      </c>
      <c r="O507" s="13">
        <v>120005.48890946072</v>
      </c>
      <c r="P507" s="13">
        <v>117005.48890946072</v>
      </c>
      <c r="Q507" s="13">
        <v>114005.48890946072</v>
      </c>
      <c r="R507" s="13">
        <v>111005.48890946072</v>
      </c>
      <c r="S507" s="13">
        <v>108005.48890946072</v>
      </c>
      <c r="T507" s="13">
        <v>105005.48890946072</v>
      </c>
      <c r="U507" s="13">
        <v>102005.48890946072</v>
      </c>
      <c r="V507" s="13">
        <v>99005.488909460721</v>
      </c>
      <c r="W507" s="13">
        <v>96005.488909460721</v>
      </c>
      <c r="X507" s="13">
        <v>93005.488909460721</v>
      </c>
    </row>
    <row r="508" spans="1:24" x14ac:dyDescent="0.35">
      <c r="A508" s="34">
        <v>481</v>
      </c>
      <c r="B508" s="2">
        <v>0.12563493155842875</v>
      </c>
      <c r="C508" s="91">
        <f t="shared" si="14"/>
        <v>18.527295505946118</v>
      </c>
      <c r="D508" s="13">
        <v>88218.364047568932</v>
      </c>
      <c r="E508" s="13">
        <v>85218.364047568932</v>
      </c>
      <c r="F508" s="13">
        <v>82218.364047568932</v>
      </c>
      <c r="G508" s="13">
        <v>79218.36404756899</v>
      </c>
      <c r="H508" s="13">
        <v>76218.36404756899</v>
      </c>
      <c r="I508" s="13">
        <v>73218.36404756899</v>
      </c>
      <c r="J508" s="13">
        <v>70218.36404756899</v>
      </c>
      <c r="K508" s="13">
        <v>67218.36404756899</v>
      </c>
      <c r="L508" s="13">
        <v>64218.36404756899</v>
      </c>
      <c r="M508" s="13">
        <v>61218.36404756899</v>
      </c>
      <c r="N508" s="13">
        <v>58218.36404756899</v>
      </c>
      <c r="O508" s="13">
        <v>55218.36404756899</v>
      </c>
      <c r="P508" s="13">
        <v>52218.36404756899</v>
      </c>
      <c r="Q508" s="13">
        <v>49218.36404756899</v>
      </c>
      <c r="R508" s="13">
        <v>46218.36404756899</v>
      </c>
      <c r="S508" s="13">
        <v>43218.36404756899</v>
      </c>
      <c r="T508" s="13">
        <v>40218.36404756899</v>
      </c>
      <c r="U508" s="13">
        <v>37218.36404756899</v>
      </c>
      <c r="V508" s="13">
        <v>34218.36404756899</v>
      </c>
      <c r="W508" s="13">
        <v>31218.36404756899</v>
      </c>
      <c r="X508" s="13">
        <v>28218.36404756899</v>
      </c>
    </row>
    <row r="509" spans="1:24" x14ac:dyDescent="0.35">
      <c r="A509" s="34">
        <v>482</v>
      </c>
      <c r="B509" s="2">
        <v>0.87670415779723221</v>
      </c>
      <c r="C509" s="91">
        <f t="shared" si="14"/>
        <v>41.586676441667002</v>
      </c>
      <c r="D509" s="13">
        <v>164760.02932500094</v>
      </c>
      <c r="E509" s="13">
        <v>166760.02932500106</v>
      </c>
      <c r="F509" s="13">
        <v>168760.02932500106</v>
      </c>
      <c r="G509" s="13">
        <v>170760.02932500106</v>
      </c>
      <c r="H509" s="13">
        <v>172760.02932500106</v>
      </c>
      <c r="I509" s="13">
        <v>174760.02932500106</v>
      </c>
      <c r="J509" s="13">
        <v>176760.02932500106</v>
      </c>
      <c r="K509" s="13">
        <v>178760.02932500106</v>
      </c>
      <c r="L509" s="13">
        <v>180760.02932500106</v>
      </c>
      <c r="M509" s="13">
        <v>182760.02932500106</v>
      </c>
      <c r="N509" s="13">
        <v>184760.02932500106</v>
      </c>
      <c r="O509" s="13">
        <v>186760.02932500106</v>
      </c>
      <c r="P509" s="13">
        <v>188760.02932500094</v>
      </c>
      <c r="Q509" s="13">
        <v>190760.02932500094</v>
      </c>
      <c r="R509" s="13">
        <v>192760.02932500094</v>
      </c>
      <c r="S509" s="13">
        <v>194760.02932500094</v>
      </c>
      <c r="T509" s="13">
        <v>196760.02932500094</v>
      </c>
      <c r="U509" s="13">
        <v>198760.02932500094</v>
      </c>
      <c r="V509" s="13">
        <v>200760.02932500094</v>
      </c>
      <c r="W509" s="13">
        <v>202760.02932500094</v>
      </c>
      <c r="X509" s="13">
        <v>204760.02932500094</v>
      </c>
    </row>
    <row r="510" spans="1:24" x14ac:dyDescent="0.35">
      <c r="A510" s="34">
        <v>483</v>
      </c>
      <c r="B510" s="2">
        <v>0.58343016750188903</v>
      </c>
      <c r="C510" s="91">
        <f t="shared" si="14"/>
        <v>32.106765619216937</v>
      </c>
      <c r="D510" s="13">
        <v>136320.29685765074</v>
      </c>
      <c r="E510" s="13">
        <v>138320.29685765074</v>
      </c>
      <c r="F510" s="13">
        <v>140320.29685765074</v>
      </c>
      <c r="G510" s="13">
        <v>142320.29685765074</v>
      </c>
      <c r="H510" s="13">
        <v>144320.29685765074</v>
      </c>
      <c r="I510" s="13">
        <v>146320.29685765074</v>
      </c>
      <c r="J510" s="13">
        <v>148320.29685765074</v>
      </c>
      <c r="K510" s="13">
        <v>150320.29685765086</v>
      </c>
      <c r="L510" s="13">
        <v>152320.29685765086</v>
      </c>
      <c r="M510" s="13">
        <v>154320.29685765086</v>
      </c>
      <c r="N510" s="13">
        <v>156320.29685765086</v>
      </c>
      <c r="O510" s="13">
        <v>158320.29685765086</v>
      </c>
      <c r="P510" s="13">
        <v>160320.29685765086</v>
      </c>
      <c r="Q510" s="13">
        <v>157854.1249537355</v>
      </c>
      <c r="R510" s="13">
        <v>154854.1249537355</v>
      </c>
      <c r="S510" s="13">
        <v>151854.1249537355</v>
      </c>
      <c r="T510" s="13">
        <v>148854.1249537355</v>
      </c>
      <c r="U510" s="13">
        <v>145854.1249537355</v>
      </c>
      <c r="V510" s="13">
        <v>142854.1249537355</v>
      </c>
      <c r="W510" s="13">
        <v>139854.1249537355</v>
      </c>
      <c r="X510" s="13">
        <v>136854.1249537355</v>
      </c>
    </row>
    <row r="511" spans="1:24" x14ac:dyDescent="0.35">
      <c r="A511" s="34">
        <v>484</v>
      </c>
      <c r="B511" s="2">
        <v>0.81042543166780945</v>
      </c>
      <c r="C511" s="91">
        <f t="shared" si="14"/>
        <v>38.794651209639916</v>
      </c>
      <c r="D511" s="13">
        <v>156383.95362891979</v>
      </c>
      <c r="E511" s="13">
        <v>158383.95362891979</v>
      </c>
      <c r="F511" s="13">
        <v>160383.95362891979</v>
      </c>
      <c r="G511" s="13">
        <v>162383.95362891979</v>
      </c>
      <c r="H511" s="13">
        <v>164383.95362891979</v>
      </c>
      <c r="I511" s="13">
        <v>166383.95362891979</v>
      </c>
      <c r="J511" s="13">
        <v>168383.95362891979</v>
      </c>
      <c r="K511" s="13">
        <v>170383.95362891979</v>
      </c>
      <c r="L511" s="13">
        <v>172383.95362891979</v>
      </c>
      <c r="M511" s="13">
        <v>174383.95362891979</v>
      </c>
      <c r="N511" s="13">
        <v>176383.95362891979</v>
      </c>
      <c r="O511" s="13">
        <v>178383.95362891979</v>
      </c>
      <c r="P511" s="13">
        <v>180383.95362891979</v>
      </c>
      <c r="Q511" s="13">
        <v>182383.95362891979</v>
      </c>
      <c r="R511" s="13">
        <v>184383.95362891979</v>
      </c>
      <c r="S511" s="13">
        <v>186383.95362891979</v>
      </c>
      <c r="T511" s="13">
        <v>188383.95362891979</v>
      </c>
      <c r="U511" s="13">
        <v>190383.95362891979</v>
      </c>
      <c r="V511" s="13">
        <v>192383.95362891979</v>
      </c>
      <c r="W511" s="13">
        <v>193357.20967711927</v>
      </c>
      <c r="X511" s="13">
        <v>190357.20967711927</v>
      </c>
    </row>
    <row r="512" spans="1:24" x14ac:dyDescent="0.35">
      <c r="A512" s="34">
        <v>485</v>
      </c>
      <c r="B512" s="2">
        <v>0.36139933137523383</v>
      </c>
      <c r="C512" s="91">
        <f t="shared" si="14"/>
        <v>26.452790610893047</v>
      </c>
      <c r="D512" s="13">
        <v>119358.37183267914</v>
      </c>
      <c r="E512" s="13">
        <v>121358.37183267914</v>
      </c>
      <c r="F512" s="13">
        <v>123358.37183267914</v>
      </c>
      <c r="G512" s="13">
        <v>125358.37183267914</v>
      </c>
      <c r="H512" s="13">
        <v>127358.37183267914</v>
      </c>
      <c r="I512" s="13">
        <v>129358.37183267914</v>
      </c>
      <c r="J512" s="13">
        <v>131358.37183267914</v>
      </c>
      <c r="K512" s="13">
        <v>130622.32488714438</v>
      </c>
      <c r="L512" s="13">
        <v>127622.32488714438</v>
      </c>
      <c r="M512" s="13">
        <v>124622.32488714438</v>
      </c>
      <c r="N512" s="13">
        <v>121622.32488714438</v>
      </c>
      <c r="O512" s="13">
        <v>118622.32488714438</v>
      </c>
      <c r="P512" s="13">
        <v>115622.32488714438</v>
      </c>
      <c r="Q512" s="13">
        <v>112622.32488714438</v>
      </c>
      <c r="R512" s="13">
        <v>109622.32488714438</v>
      </c>
      <c r="S512" s="13">
        <v>106622.32488714438</v>
      </c>
      <c r="T512" s="13">
        <v>103622.32488714438</v>
      </c>
      <c r="U512" s="13">
        <v>100622.32488714438</v>
      </c>
      <c r="V512" s="13">
        <v>97622.324887144379</v>
      </c>
      <c r="W512" s="13">
        <v>94622.324887144379</v>
      </c>
      <c r="X512" s="13">
        <v>91622.324887144379</v>
      </c>
    </row>
    <row r="513" spans="1:24" x14ac:dyDescent="0.35">
      <c r="A513" s="34">
        <v>486</v>
      </c>
      <c r="B513" s="2">
        <v>0.13195067120333115</v>
      </c>
      <c r="C513" s="91">
        <f t="shared" si="14"/>
        <v>18.827825059140402</v>
      </c>
      <c r="D513" s="13">
        <v>90622.600473123195</v>
      </c>
      <c r="E513" s="13">
        <v>87622.600473123195</v>
      </c>
      <c r="F513" s="13">
        <v>84622.600473123253</v>
      </c>
      <c r="G513" s="13">
        <v>81622.600473123253</v>
      </c>
      <c r="H513" s="13">
        <v>78622.600473123253</v>
      </c>
      <c r="I513" s="13">
        <v>75622.600473123253</v>
      </c>
      <c r="J513" s="13">
        <v>72622.600473123253</v>
      </c>
      <c r="K513" s="13">
        <v>69622.600473123137</v>
      </c>
      <c r="L513" s="13">
        <v>66622.600473123137</v>
      </c>
      <c r="M513" s="13">
        <v>63622.600473123137</v>
      </c>
      <c r="N513" s="13">
        <v>60622.600473123137</v>
      </c>
      <c r="O513" s="13">
        <v>57622.600473123137</v>
      </c>
      <c r="P513" s="13">
        <v>54622.600473123137</v>
      </c>
      <c r="Q513" s="13">
        <v>51622.600473123137</v>
      </c>
      <c r="R513" s="13">
        <v>48622.600473123137</v>
      </c>
      <c r="S513" s="13">
        <v>45622.600473123137</v>
      </c>
      <c r="T513" s="13">
        <v>42622.600473123137</v>
      </c>
      <c r="U513" s="13">
        <v>39622.600473123137</v>
      </c>
      <c r="V513" s="13">
        <v>36622.600473123137</v>
      </c>
      <c r="W513" s="13">
        <v>33622.600473123137</v>
      </c>
      <c r="X513" s="13">
        <v>30622.600473123137</v>
      </c>
    </row>
    <row r="514" spans="1:24" x14ac:dyDescent="0.35">
      <c r="A514" s="34">
        <v>487</v>
      </c>
      <c r="B514" s="2">
        <v>7.1908178333648376E-2</v>
      </c>
      <c r="C514" s="91">
        <f t="shared" si="14"/>
        <v>15.382741722079595</v>
      </c>
      <c r="D514" s="13">
        <v>63061.933776636724</v>
      </c>
      <c r="E514" s="13">
        <v>60061.933776636724</v>
      </c>
      <c r="F514" s="13">
        <v>57061.933776636724</v>
      </c>
      <c r="G514" s="13">
        <v>54061.933776636724</v>
      </c>
      <c r="H514" s="13">
        <v>51061.933776636724</v>
      </c>
      <c r="I514" s="13">
        <v>48061.933776636724</v>
      </c>
      <c r="J514" s="13">
        <v>45061.933776636724</v>
      </c>
      <c r="K514" s="13">
        <v>42061.933776636724</v>
      </c>
      <c r="L514" s="13">
        <v>39061.933776636724</v>
      </c>
      <c r="M514" s="13">
        <v>36061.933776636724</v>
      </c>
      <c r="N514" s="13">
        <v>33061.933776636724</v>
      </c>
      <c r="O514" s="13">
        <v>30061.933776636724</v>
      </c>
      <c r="P514" s="13">
        <v>27061.933776636841</v>
      </c>
      <c r="Q514" s="13">
        <v>24061.933776636841</v>
      </c>
      <c r="R514" s="13">
        <v>21061.933776636841</v>
      </c>
      <c r="S514" s="13">
        <v>18061.933776636841</v>
      </c>
      <c r="T514" s="13">
        <v>15061.933776636841</v>
      </c>
      <c r="U514" s="13">
        <v>12061.933776636841</v>
      </c>
      <c r="V514" s="13">
        <v>9061.9337766368408</v>
      </c>
      <c r="W514" s="13">
        <v>6061.9337766368408</v>
      </c>
      <c r="X514" s="13">
        <v>3061.9337766368408</v>
      </c>
    </row>
    <row r="515" spans="1:24" x14ac:dyDescent="0.35">
      <c r="A515" s="34">
        <v>488</v>
      </c>
      <c r="B515" s="2">
        <v>0.75254594698909028</v>
      </c>
      <c r="C515" s="91">
        <f t="shared" si="14"/>
        <v>36.825233138334859</v>
      </c>
      <c r="D515" s="13">
        <v>150475.69941500458</v>
      </c>
      <c r="E515" s="13">
        <v>152475.69941500458</v>
      </c>
      <c r="F515" s="13">
        <v>154475.69941500458</v>
      </c>
      <c r="G515" s="13">
        <v>156475.69941500458</v>
      </c>
      <c r="H515" s="13">
        <v>158475.69941500458</v>
      </c>
      <c r="I515" s="13">
        <v>160475.69941500458</v>
      </c>
      <c r="J515" s="13">
        <v>162475.69941500458</v>
      </c>
      <c r="K515" s="13">
        <v>164475.69941500458</v>
      </c>
      <c r="L515" s="13">
        <v>166475.69941500458</v>
      </c>
      <c r="M515" s="13">
        <v>168475.69941500458</v>
      </c>
      <c r="N515" s="13">
        <v>170475.69941500458</v>
      </c>
      <c r="O515" s="13">
        <v>172475.69941500458</v>
      </c>
      <c r="P515" s="13">
        <v>174475.69941500458</v>
      </c>
      <c r="Q515" s="13">
        <v>176475.69941500458</v>
      </c>
      <c r="R515" s="13">
        <v>178475.69941500458</v>
      </c>
      <c r="S515" s="13">
        <v>180475.69941500458</v>
      </c>
      <c r="T515" s="13">
        <v>182475.69941500458</v>
      </c>
      <c r="U515" s="13">
        <v>183601.8651066788</v>
      </c>
      <c r="V515" s="13">
        <v>180601.8651066788</v>
      </c>
      <c r="W515" s="13">
        <v>177601.8651066788</v>
      </c>
      <c r="X515" s="13">
        <v>174601.8651066788</v>
      </c>
    </row>
    <row r="516" spans="1:24" x14ac:dyDescent="0.35">
      <c r="A516" s="34">
        <v>489</v>
      </c>
      <c r="B516" s="2">
        <v>0.57147380793982261</v>
      </c>
      <c r="C516" s="91">
        <f t="shared" si="14"/>
        <v>31.801276142590734</v>
      </c>
      <c r="D516" s="13">
        <v>135403.82842777227</v>
      </c>
      <c r="E516" s="13">
        <v>137403.82842777227</v>
      </c>
      <c r="F516" s="13">
        <v>139403.82842777227</v>
      </c>
      <c r="G516" s="13">
        <v>141403.82842777227</v>
      </c>
      <c r="H516" s="13">
        <v>143403.82842777227</v>
      </c>
      <c r="I516" s="13">
        <v>145403.82842777227</v>
      </c>
      <c r="J516" s="13">
        <v>147403.82842777227</v>
      </c>
      <c r="K516" s="13">
        <v>149403.82842777227</v>
      </c>
      <c r="L516" s="13">
        <v>151403.82842777227</v>
      </c>
      <c r="M516" s="13">
        <v>153403.82842777227</v>
      </c>
      <c r="N516" s="13">
        <v>155403.82842777227</v>
      </c>
      <c r="O516" s="13">
        <v>157403.82842777227</v>
      </c>
      <c r="P516" s="13">
        <v>158410.2091407259</v>
      </c>
      <c r="Q516" s="13">
        <v>155410.2091407259</v>
      </c>
      <c r="R516" s="13">
        <v>152410.2091407259</v>
      </c>
      <c r="S516" s="13">
        <v>149410.2091407259</v>
      </c>
      <c r="T516" s="13">
        <v>146410.2091407259</v>
      </c>
      <c r="U516" s="13">
        <v>143410.2091407259</v>
      </c>
      <c r="V516" s="13">
        <v>140410.2091407259</v>
      </c>
      <c r="W516" s="13">
        <v>137410.2091407259</v>
      </c>
      <c r="X516" s="13">
        <v>134410.2091407259</v>
      </c>
    </row>
    <row r="517" spans="1:24" x14ac:dyDescent="0.35">
      <c r="A517" s="34">
        <v>490</v>
      </c>
      <c r="B517" s="2">
        <v>0.58129479418204844</v>
      </c>
      <c r="C517" s="91">
        <f t="shared" si="14"/>
        <v>32.052069858930949</v>
      </c>
      <c r="D517" s="13">
        <v>136156.20957679278</v>
      </c>
      <c r="E517" s="13">
        <v>138156.20957679278</v>
      </c>
      <c r="F517" s="13">
        <v>140156.20957679278</v>
      </c>
      <c r="G517" s="13">
        <v>142156.20957679278</v>
      </c>
      <c r="H517" s="13">
        <v>144156.20957679278</v>
      </c>
      <c r="I517" s="13">
        <v>146156.20957679278</v>
      </c>
      <c r="J517" s="13">
        <v>148156.20957679278</v>
      </c>
      <c r="K517" s="13">
        <v>150156.2095767929</v>
      </c>
      <c r="L517" s="13">
        <v>152156.2095767929</v>
      </c>
      <c r="M517" s="13">
        <v>154156.2095767929</v>
      </c>
      <c r="N517" s="13">
        <v>156156.2095767929</v>
      </c>
      <c r="O517" s="13">
        <v>158156.2095767929</v>
      </c>
      <c r="P517" s="13">
        <v>160156.2095767929</v>
      </c>
      <c r="Q517" s="13">
        <v>157416.55887144757</v>
      </c>
      <c r="R517" s="13">
        <v>154416.55887144757</v>
      </c>
      <c r="S517" s="13">
        <v>151416.55887144757</v>
      </c>
      <c r="T517" s="13">
        <v>148416.55887144757</v>
      </c>
      <c r="U517" s="13">
        <v>145416.55887144757</v>
      </c>
      <c r="V517" s="13">
        <v>142416.55887144757</v>
      </c>
      <c r="W517" s="13">
        <v>139416.55887144757</v>
      </c>
      <c r="X517" s="13">
        <v>136416.55887144757</v>
      </c>
    </row>
    <row r="518" spans="1:24" x14ac:dyDescent="0.35">
      <c r="A518" s="34">
        <v>491</v>
      </c>
      <c r="B518" s="2">
        <v>0.37973397840439127</v>
      </c>
      <c r="C518" s="91">
        <f t="shared" si="14"/>
        <v>26.938204695432624</v>
      </c>
      <c r="D518" s="13">
        <v>120814.61408629781</v>
      </c>
      <c r="E518" s="13">
        <v>122814.61408629781</v>
      </c>
      <c r="F518" s="13">
        <v>124814.61408629781</v>
      </c>
      <c r="G518" s="13">
        <v>126814.61408629781</v>
      </c>
      <c r="H518" s="13">
        <v>128814.61408629781</v>
      </c>
      <c r="I518" s="13">
        <v>130814.61408629781</v>
      </c>
      <c r="J518" s="13">
        <v>132814.61408629781</v>
      </c>
      <c r="K518" s="13">
        <v>134505.63756346097</v>
      </c>
      <c r="L518" s="13">
        <v>131505.63756346097</v>
      </c>
      <c r="M518" s="13">
        <v>128505.63756346097</v>
      </c>
      <c r="N518" s="13">
        <v>125505.63756346097</v>
      </c>
      <c r="O518" s="13">
        <v>122505.63756346097</v>
      </c>
      <c r="P518" s="13">
        <v>119505.63756346097</v>
      </c>
      <c r="Q518" s="13">
        <v>116505.63756346097</v>
      </c>
      <c r="R518" s="13">
        <v>113505.63756346097</v>
      </c>
      <c r="S518" s="13">
        <v>110505.63756346097</v>
      </c>
      <c r="T518" s="13">
        <v>107505.63756346097</v>
      </c>
      <c r="U518" s="13">
        <v>104505.63756346097</v>
      </c>
      <c r="V518" s="13">
        <v>101505.63756346097</v>
      </c>
      <c r="W518" s="13">
        <v>98505.637563460972</v>
      </c>
      <c r="X518" s="13">
        <v>95505.637563460972</v>
      </c>
    </row>
    <row r="519" spans="1:24" x14ac:dyDescent="0.35">
      <c r="A519" s="34">
        <v>492</v>
      </c>
      <c r="B519" s="2">
        <v>0.58793192473693645</v>
      </c>
      <c r="C519" s="91">
        <f t="shared" si="14"/>
        <v>32.222283181458479</v>
      </c>
      <c r="D519" s="13">
        <v>136666.84954437544</v>
      </c>
      <c r="E519" s="13">
        <v>138666.84954437544</v>
      </c>
      <c r="F519" s="13">
        <v>140666.84954437544</v>
      </c>
      <c r="G519" s="13">
        <v>142666.84954437544</v>
      </c>
      <c r="H519" s="13">
        <v>144666.84954437544</v>
      </c>
      <c r="I519" s="13">
        <v>146666.84954437544</v>
      </c>
      <c r="J519" s="13">
        <v>148666.84954437544</v>
      </c>
      <c r="K519" s="13">
        <v>150666.84954437544</v>
      </c>
      <c r="L519" s="13">
        <v>152666.84954437544</v>
      </c>
      <c r="M519" s="13">
        <v>154666.84954437544</v>
      </c>
      <c r="N519" s="13">
        <v>156666.84954437544</v>
      </c>
      <c r="O519" s="13">
        <v>158666.84954437544</v>
      </c>
      <c r="P519" s="13">
        <v>160666.84954437544</v>
      </c>
      <c r="Q519" s="13">
        <v>158778.26545166783</v>
      </c>
      <c r="R519" s="13">
        <v>155778.26545166783</v>
      </c>
      <c r="S519" s="13">
        <v>152778.26545166783</v>
      </c>
      <c r="T519" s="13">
        <v>149778.26545166783</v>
      </c>
      <c r="U519" s="13">
        <v>146778.26545166783</v>
      </c>
      <c r="V519" s="13">
        <v>143778.26545166783</v>
      </c>
      <c r="W519" s="13">
        <v>140778.26545166783</v>
      </c>
      <c r="X519" s="13">
        <v>137778.26545166783</v>
      </c>
    </row>
    <row r="520" spans="1:24" x14ac:dyDescent="0.35">
      <c r="A520" s="34">
        <v>493</v>
      </c>
      <c r="B520" s="2">
        <v>0.65597820560566711</v>
      </c>
      <c r="C520" s="91">
        <f t="shared" si="14"/>
        <v>34.015114786130432</v>
      </c>
      <c r="D520" s="13">
        <v>142045.34435839136</v>
      </c>
      <c r="E520" s="13">
        <v>144045.34435839136</v>
      </c>
      <c r="F520" s="13">
        <v>146045.34435839136</v>
      </c>
      <c r="G520" s="13">
        <v>148045.34435839136</v>
      </c>
      <c r="H520" s="13">
        <v>150045.34435839136</v>
      </c>
      <c r="I520" s="13">
        <v>152045.34435839136</v>
      </c>
      <c r="J520" s="13">
        <v>154045.34435839136</v>
      </c>
      <c r="K520" s="13">
        <v>156045.34435839136</v>
      </c>
      <c r="L520" s="13">
        <v>158045.34435839136</v>
      </c>
      <c r="M520" s="13">
        <v>160045.34435839124</v>
      </c>
      <c r="N520" s="13">
        <v>162045.34435839124</v>
      </c>
      <c r="O520" s="13">
        <v>164045.34435839124</v>
      </c>
      <c r="P520" s="13">
        <v>166045.34435839124</v>
      </c>
      <c r="Q520" s="13">
        <v>168045.34435839124</v>
      </c>
      <c r="R520" s="13">
        <v>170045.34435839124</v>
      </c>
      <c r="S520" s="13">
        <v>167120.91828904347</v>
      </c>
      <c r="T520" s="13">
        <v>164120.91828904347</v>
      </c>
      <c r="U520" s="13">
        <v>161120.91828904347</v>
      </c>
      <c r="V520" s="13">
        <v>158120.91828904347</v>
      </c>
      <c r="W520" s="13">
        <v>155120.91828904347</v>
      </c>
      <c r="X520" s="13">
        <v>152120.91828904347</v>
      </c>
    </row>
    <row r="521" spans="1:24" x14ac:dyDescent="0.35">
      <c r="A521" s="34">
        <v>494</v>
      </c>
      <c r="B521" s="2">
        <v>0.78483387972505603</v>
      </c>
      <c r="C521" s="91">
        <f t="shared" si="14"/>
        <v>37.886232454409168</v>
      </c>
      <c r="D521" s="13">
        <v>153658.69736322761</v>
      </c>
      <c r="E521" s="13">
        <v>155658.69736322761</v>
      </c>
      <c r="F521" s="13">
        <v>157658.69736322761</v>
      </c>
      <c r="G521" s="13">
        <v>159658.69736322761</v>
      </c>
      <c r="H521" s="13">
        <v>161658.69736322761</v>
      </c>
      <c r="I521" s="13">
        <v>163658.69736322761</v>
      </c>
      <c r="J521" s="13">
        <v>165658.69736322761</v>
      </c>
      <c r="K521" s="13">
        <v>167658.69736322761</v>
      </c>
      <c r="L521" s="13">
        <v>169658.69736322749</v>
      </c>
      <c r="M521" s="13">
        <v>171658.69736322749</v>
      </c>
      <c r="N521" s="13">
        <v>173658.69736322749</v>
      </c>
      <c r="O521" s="13">
        <v>175658.69736322749</v>
      </c>
      <c r="P521" s="13">
        <v>177658.69736322749</v>
      </c>
      <c r="Q521" s="13">
        <v>179658.69736322749</v>
      </c>
      <c r="R521" s="13">
        <v>181658.69736322749</v>
      </c>
      <c r="S521" s="13">
        <v>183658.69736322749</v>
      </c>
      <c r="T521" s="13">
        <v>185658.69736322749</v>
      </c>
      <c r="U521" s="13">
        <v>187658.69736322749</v>
      </c>
      <c r="V521" s="13">
        <v>189089.85963527334</v>
      </c>
      <c r="W521" s="13">
        <v>186089.85963527334</v>
      </c>
      <c r="X521" s="13">
        <v>183089.85963527334</v>
      </c>
    </row>
    <row r="522" spans="1:24" x14ac:dyDescent="0.35">
      <c r="A522" s="34">
        <v>495</v>
      </c>
      <c r="B522" s="2">
        <v>0.88931690103802064</v>
      </c>
      <c r="C522" s="91">
        <f t="shared" si="14"/>
        <v>42.229033637783807</v>
      </c>
      <c r="D522" s="13">
        <v>166687.1009133514</v>
      </c>
      <c r="E522" s="13">
        <v>168687.1009133514</v>
      </c>
      <c r="F522" s="13">
        <v>170687.1009133514</v>
      </c>
      <c r="G522" s="13">
        <v>172687.1009133514</v>
      </c>
      <c r="H522" s="13">
        <v>174687.1009133514</v>
      </c>
      <c r="I522" s="13">
        <v>176687.1009133514</v>
      </c>
      <c r="J522" s="13">
        <v>178687.1009133514</v>
      </c>
      <c r="K522" s="13">
        <v>180687.1009133514</v>
      </c>
      <c r="L522" s="13">
        <v>182687.1009133514</v>
      </c>
      <c r="M522" s="13">
        <v>184687.1009133514</v>
      </c>
      <c r="N522" s="13">
        <v>186687.1009133514</v>
      </c>
      <c r="O522" s="13">
        <v>188687.1009133514</v>
      </c>
      <c r="P522" s="13">
        <v>190687.1009133514</v>
      </c>
      <c r="Q522" s="13">
        <v>192687.1009133514</v>
      </c>
      <c r="R522" s="13">
        <v>194687.1009133514</v>
      </c>
      <c r="S522" s="13">
        <v>196687.1009133514</v>
      </c>
      <c r="T522" s="13">
        <v>198687.1009133514</v>
      </c>
      <c r="U522" s="13">
        <v>200687.1009133514</v>
      </c>
      <c r="V522" s="13">
        <v>202687.1009133514</v>
      </c>
      <c r="W522" s="13">
        <v>204687.1009133514</v>
      </c>
      <c r="X522" s="13">
        <v>206687.1009133514</v>
      </c>
    </row>
    <row r="523" spans="1:24" x14ac:dyDescent="0.35">
      <c r="A523" s="34">
        <v>496</v>
      </c>
      <c r="B523" s="2">
        <v>0.71613411197086974</v>
      </c>
      <c r="C523" s="91">
        <f t="shared" si="14"/>
        <v>35.713952089036653</v>
      </c>
      <c r="D523" s="13">
        <v>147141.85626710986</v>
      </c>
      <c r="E523" s="13">
        <v>149141.85626710986</v>
      </c>
      <c r="F523" s="13">
        <v>151141.85626710986</v>
      </c>
      <c r="G523" s="13">
        <v>153141.85626710986</v>
      </c>
      <c r="H523" s="13">
        <v>155141.85626710998</v>
      </c>
      <c r="I523" s="13">
        <v>157141.85626710998</v>
      </c>
      <c r="J523" s="13">
        <v>159141.85626710998</v>
      </c>
      <c r="K523" s="13">
        <v>161141.85626710998</v>
      </c>
      <c r="L523" s="13">
        <v>163141.85626710998</v>
      </c>
      <c r="M523" s="13">
        <v>165141.85626710998</v>
      </c>
      <c r="N523" s="13">
        <v>167141.85626710998</v>
      </c>
      <c r="O523" s="13">
        <v>169141.85626710998</v>
      </c>
      <c r="P523" s="13">
        <v>171141.85626710998</v>
      </c>
      <c r="Q523" s="13">
        <v>173141.85626710998</v>
      </c>
      <c r="R523" s="13">
        <v>175141.85626710998</v>
      </c>
      <c r="S523" s="13">
        <v>177141.85626710998</v>
      </c>
      <c r="T523" s="13">
        <v>177711.61671229324</v>
      </c>
      <c r="U523" s="13">
        <v>174711.61671229324</v>
      </c>
      <c r="V523" s="13">
        <v>171711.61671229324</v>
      </c>
      <c r="W523" s="13">
        <v>168711.61671229324</v>
      </c>
      <c r="X523" s="13">
        <v>165711.61671229324</v>
      </c>
    </row>
    <row r="524" spans="1:24" x14ac:dyDescent="0.35">
      <c r="A524" s="34">
        <v>497</v>
      </c>
      <c r="B524" s="2">
        <v>0.80119671892645716</v>
      </c>
      <c r="C524" s="91">
        <f t="shared" si="14"/>
        <v>38.459035317232932</v>
      </c>
      <c r="D524" s="13">
        <v>155377.10595169885</v>
      </c>
      <c r="E524" s="13">
        <v>157377.10595169885</v>
      </c>
      <c r="F524" s="13">
        <v>159377.10595169885</v>
      </c>
      <c r="G524" s="13">
        <v>161377.10595169885</v>
      </c>
      <c r="H524" s="13">
        <v>163377.10595169885</v>
      </c>
      <c r="I524" s="13">
        <v>165377.10595169885</v>
      </c>
      <c r="J524" s="13">
        <v>167377.10595169885</v>
      </c>
      <c r="K524" s="13">
        <v>169377.10595169885</v>
      </c>
      <c r="L524" s="13">
        <v>171377.10595169873</v>
      </c>
      <c r="M524" s="13">
        <v>173377.10595169873</v>
      </c>
      <c r="N524" s="13">
        <v>175377.10595169873</v>
      </c>
      <c r="O524" s="13">
        <v>177377.10595169873</v>
      </c>
      <c r="P524" s="13">
        <v>179377.10595169873</v>
      </c>
      <c r="Q524" s="13">
        <v>181377.10595169873</v>
      </c>
      <c r="R524" s="13">
        <v>183377.10595169873</v>
      </c>
      <c r="S524" s="13">
        <v>185377.10595169873</v>
      </c>
      <c r="T524" s="13">
        <v>187377.10595169873</v>
      </c>
      <c r="U524" s="13">
        <v>189377.10595169873</v>
      </c>
      <c r="V524" s="13">
        <v>191377.10595169873</v>
      </c>
      <c r="W524" s="13">
        <v>190672.28253786336</v>
      </c>
      <c r="X524" s="13">
        <v>187672.28253786336</v>
      </c>
    </row>
    <row r="525" spans="1:24" x14ac:dyDescent="0.35">
      <c r="A525" s="34">
        <v>498</v>
      </c>
      <c r="B525" s="2">
        <v>0.77895478687917385</v>
      </c>
      <c r="C525" s="91">
        <f t="shared" si="14"/>
        <v>37.686679999483829</v>
      </c>
      <c r="D525" s="13">
        <v>153060.03999845148</v>
      </c>
      <c r="E525" s="13">
        <v>155060.03999845148</v>
      </c>
      <c r="F525" s="13">
        <v>157060.03999845148</v>
      </c>
      <c r="G525" s="13">
        <v>159060.03999845148</v>
      </c>
      <c r="H525" s="13">
        <v>161060.03999845148</v>
      </c>
      <c r="I525" s="13">
        <v>163060.03999845148</v>
      </c>
      <c r="J525" s="13">
        <v>165060.03999845148</v>
      </c>
      <c r="K525" s="13">
        <v>167060.03999845148</v>
      </c>
      <c r="L525" s="13">
        <v>169060.03999845148</v>
      </c>
      <c r="M525" s="13">
        <v>171060.03999845148</v>
      </c>
      <c r="N525" s="13">
        <v>173060.03999845148</v>
      </c>
      <c r="O525" s="13">
        <v>175060.03999845148</v>
      </c>
      <c r="P525" s="13">
        <v>177060.03999845148</v>
      </c>
      <c r="Q525" s="13">
        <v>179060.03999845148</v>
      </c>
      <c r="R525" s="13">
        <v>181060.03999845148</v>
      </c>
      <c r="S525" s="13">
        <v>183060.03999845148</v>
      </c>
      <c r="T525" s="13">
        <v>185060.03999845148</v>
      </c>
      <c r="U525" s="13">
        <v>187060.03999845148</v>
      </c>
      <c r="V525" s="13">
        <v>187493.43999587058</v>
      </c>
      <c r="W525" s="13">
        <v>184493.43999587058</v>
      </c>
      <c r="X525" s="13">
        <v>181493.43999587058</v>
      </c>
    </row>
    <row r="526" spans="1:24" x14ac:dyDescent="0.35">
      <c r="A526" s="34">
        <v>499</v>
      </c>
      <c r="B526" s="2">
        <v>0.2761888396590888</v>
      </c>
      <c r="C526" s="91">
        <f t="shared" si="14"/>
        <v>24.057989929720595</v>
      </c>
      <c r="D526" s="13">
        <v>112173.96978916181</v>
      </c>
      <c r="E526" s="13">
        <v>114173.96978916181</v>
      </c>
      <c r="F526" s="13">
        <v>116173.96978916181</v>
      </c>
      <c r="G526" s="13">
        <v>118173.96978916181</v>
      </c>
      <c r="H526" s="13">
        <v>120173.96978916181</v>
      </c>
      <c r="I526" s="13">
        <v>117463.91943776479</v>
      </c>
      <c r="J526" s="13">
        <v>114463.91943776479</v>
      </c>
      <c r="K526" s="13">
        <v>111463.91943776479</v>
      </c>
      <c r="L526" s="13">
        <v>108463.91943776479</v>
      </c>
      <c r="M526" s="13">
        <v>105463.91943776479</v>
      </c>
      <c r="N526" s="13">
        <v>102463.91943776479</v>
      </c>
      <c r="O526" s="13">
        <v>99463.919437764795</v>
      </c>
      <c r="P526" s="13">
        <v>96463.919437764795</v>
      </c>
      <c r="Q526" s="13">
        <v>93463.919437764795</v>
      </c>
      <c r="R526" s="13">
        <v>90463.919437764795</v>
      </c>
      <c r="S526" s="13">
        <v>87463.919437764795</v>
      </c>
      <c r="T526" s="13">
        <v>84463.919437764795</v>
      </c>
      <c r="U526" s="13">
        <v>81463.919437764795</v>
      </c>
      <c r="V526" s="13">
        <v>78463.919437764795</v>
      </c>
      <c r="W526" s="13">
        <v>75463.919437764795</v>
      </c>
      <c r="X526" s="13">
        <v>72463.919437764795</v>
      </c>
    </row>
    <row r="527" spans="1:24" ht="15" thickBot="1" x14ac:dyDescent="0.4">
      <c r="A527" s="37">
        <v>500</v>
      </c>
      <c r="B527" s="31">
        <v>0.32428160756851421</v>
      </c>
      <c r="C527" s="92">
        <f t="shared" si="14"/>
        <v>25.442408958263108</v>
      </c>
      <c r="D527" s="13">
        <v>116327.22687478934</v>
      </c>
      <c r="E527" s="13">
        <v>118327.22687478934</v>
      </c>
      <c r="F527" s="13">
        <v>120327.22687478934</v>
      </c>
      <c r="G527" s="13">
        <v>122327.22687478934</v>
      </c>
      <c r="H527" s="13">
        <v>124327.22687478934</v>
      </c>
      <c r="I527" s="13">
        <v>126327.22687478934</v>
      </c>
      <c r="J527" s="13">
        <v>125539.27166610491</v>
      </c>
      <c r="K527" s="13">
        <v>122539.27166610491</v>
      </c>
      <c r="L527" s="13">
        <v>119539.27166610491</v>
      </c>
      <c r="M527" s="13">
        <v>116539.27166610491</v>
      </c>
      <c r="N527" s="13">
        <v>113539.27166610491</v>
      </c>
      <c r="O527" s="13">
        <v>110539.27166610491</v>
      </c>
      <c r="P527" s="13">
        <v>107539.27166610491</v>
      </c>
      <c r="Q527" s="13">
        <v>104539.27166610491</v>
      </c>
      <c r="R527" s="13">
        <v>101539.27166610491</v>
      </c>
      <c r="S527" s="13">
        <v>98539.271666104905</v>
      </c>
      <c r="T527" s="13">
        <v>95539.271666104905</v>
      </c>
      <c r="U527" s="13">
        <v>92539.271666104905</v>
      </c>
      <c r="V527" s="13">
        <v>89539.271666104905</v>
      </c>
      <c r="W527" s="13">
        <v>86539.271666104905</v>
      </c>
      <c r="X527" s="13">
        <v>83539.271666104905</v>
      </c>
    </row>
  </sheetData>
  <mergeCells count="3">
    <mergeCell ref="D26:X26"/>
    <mergeCell ref="H3:AB3"/>
    <mergeCell ref="M12:X23"/>
  </mergeCells>
  <conditionalFormatting sqref="C26">
    <cfRule type="colorScale" priority="7">
      <colorScale>
        <cfvo type="min"/>
        <cfvo type="percentile" val="50"/>
        <cfvo type="max"/>
        <color rgb="FFF8696B"/>
        <color rgb="FFFFEB84"/>
        <color rgb="FF63BE7B"/>
      </colorScale>
    </cfRule>
  </conditionalFormatting>
  <conditionalFormatting sqref="C28:J28 D29:J277 C29:C527 C27:X27">
    <cfRule type="colorScale" priority="10">
      <colorScale>
        <cfvo type="min"/>
        <cfvo type="percentile" val="50"/>
        <cfvo type="max"/>
        <color rgb="FFF8696B"/>
        <color rgb="FFFFEB84"/>
        <color rgb="FF63BE7B"/>
      </colorScale>
    </cfRule>
  </conditionalFormatting>
  <conditionalFormatting sqref="D28:X527">
    <cfRule type="colorScale" priority="6">
      <colorScale>
        <cfvo type="min"/>
        <cfvo type="percentile" val="50"/>
        <cfvo type="max"/>
        <color rgb="FFF8696B"/>
        <color rgb="FFFFEB84"/>
        <color rgb="FF63BE7B"/>
      </colorScale>
    </cfRule>
  </conditionalFormatting>
  <conditionalFormatting sqref="H4:AB4">
    <cfRule type="colorScale" priority="5">
      <colorScale>
        <cfvo type="min"/>
        <cfvo type="percentile" val="50"/>
        <cfvo type="max"/>
        <color rgb="FFF8696B"/>
        <color rgb="FFFFEB84"/>
        <color rgb="FF63BE7B"/>
      </colorScale>
    </cfRule>
  </conditionalFormatting>
  <conditionalFormatting sqref="H5:AB5">
    <cfRule type="colorScale" priority="4">
      <colorScale>
        <cfvo type="min"/>
        <cfvo type="percentile" val="50"/>
        <cfvo type="max"/>
        <color rgb="FFF8696B"/>
        <color rgb="FFFFEB84"/>
        <color rgb="FF63BE7B"/>
      </colorScale>
    </cfRule>
  </conditionalFormatting>
  <conditionalFormatting sqref="H6:AB6">
    <cfRule type="colorScale" priority="3">
      <colorScale>
        <cfvo type="min"/>
        <cfvo type="percentile" val="50"/>
        <cfvo type="max"/>
        <color rgb="FFF8696B"/>
        <color rgb="FFFFEB84"/>
        <color rgb="FF63BE7B"/>
      </colorScale>
    </cfRule>
  </conditionalFormatting>
  <conditionalFormatting sqref="H7:AB7">
    <cfRule type="colorScale" priority="2">
      <colorScale>
        <cfvo type="min"/>
        <cfvo type="percentile" val="50"/>
        <cfvo type="max"/>
        <color rgb="FFF8696B"/>
        <color rgb="FFFFEB84"/>
        <color rgb="FF63BE7B"/>
      </colorScale>
    </cfRule>
  </conditionalFormatting>
  <conditionalFormatting sqref="H8:AB8">
    <cfRule type="colorScale" priority="1">
      <colorScale>
        <cfvo type="min"/>
        <cfvo type="percentile" val="50"/>
        <cfvo type="max"/>
        <color rgb="FFF8696B"/>
        <color rgb="FFFFEB84"/>
        <color rgb="FF63BE7B"/>
      </colorScale>
    </cfRule>
  </conditionalFormatting>
  <printOptions headings="1" gridLines="1" gridLinesSet="0"/>
  <pageMargins left="0.75" right="0.75" top="1" bottom="1" header="0.5" footer="0.5"/>
  <pageSetup orientation="portrait" horizontalDpi="4294967292" r:id="rId1"/>
  <headerFooter alignWithMargins="0">
    <oddFooter>&amp;CProblem 12.4</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Discrete Demand</vt:lpstr>
      <vt:lpstr>Normal Dist Demand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Dmitriy Chulkov</dc:creator>
  <cp:lastModifiedBy>Drew Caldwell</cp:lastModifiedBy>
  <cp:lastPrinted>1996-07-09T20:55:21Z</cp:lastPrinted>
  <dcterms:created xsi:type="dcterms:W3CDTF">1998-12-23T16:31:12Z</dcterms:created>
  <dcterms:modified xsi:type="dcterms:W3CDTF">2026-02-18T01:27:35Z</dcterms:modified>
</cp:coreProperties>
</file>